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hr\Downloads\"/>
    </mc:Choice>
  </mc:AlternateContent>
  <xr:revisionPtr revIDLastSave="0" documentId="13_ncr:1_{517F1010-7A1F-4873-A097-B67BA3863A86}" xr6:coauthVersionLast="47" xr6:coauthVersionMax="47" xr10:uidLastSave="{00000000-0000-0000-0000-000000000000}"/>
  <bookViews>
    <workbookView xWindow="-120" yWindow="-120" windowWidth="20730" windowHeight="11160" tabRatio="841" activeTab="3" xr2:uid="{00000000-000D-0000-FFFF-FFFF00000000}"/>
  </bookViews>
  <sheets>
    <sheet name="Clim_CAFS" sheetId="36536" r:id="rId1"/>
    <sheet name="Instructions" sheetId="36380" r:id="rId2"/>
    <sheet name="3PGpjs2.7_Parameters" sheetId="36382" r:id="rId3"/>
    <sheet name="SingleSite_Red Alder" sheetId="36537" r:id="rId4"/>
    <sheet name="Clim_Alder" sheetId="36538" r:id="rId5"/>
  </sheets>
  <functionGroups builtInGroupCount="19"/>
  <definedNames>
    <definedName name="__1" localSheetId="4">#REF!</definedName>
    <definedName name="__1" localSheetId="0">#REF!</definedName>
    <definedName name="__1" localSheetId="3">#REF!</definedName>
    <definedName name="__1">#REF!</definedName>
    <definedName name="_2" localSheetId="4">#REF!</definedName>
    <definedName name="_2" localSheetId="0">#REF!</definedName>
    <definedName name="_2" localSheetId="3">#REF!</definedName>
    <definedName name="_2">#REF!</definedName>
    <definedName name="A" localSheetId="4">#REF!</definedName>
    <definedName name="A" localSheetId="0">#REF!</definedName>
    <definedName name="A" localSheetId="3">#REF!</definedName>
    <definedName name="A">#REF!</definedName>
    <definedName name="Aspect" localSheetId="4">#REF!</definedName>
    <definedName name="Aspect" localSheetId="0">#REF!</definedName>
    <definedName name="Aspect" localSheetId="3">#REF!</definedName>
    <definedName name="Aspect">#REF!</definedName>
    <definedName name="base" localSheetId="4">#REF!</definedName>
    <definedName name="base" localSheetId="0">#REF!</definedName>
    <definedName name="base" localSheetId="3">#REF!</definedName>
    <definedName name="base">#REF!</definedName>
    <definedName name="BBB" localSheetId="4">#REF!</definedName>
    <definedName name="BBB" localSheetId="0">#REF!</definedName>
    <definedName name="BBB" localSheetId="3">#REF!</definedName>
    <definedName name="BBB">#REF!</definedName>
    <definedName name="Clim_OR" localSheetId="4">#REF!</definedName>
    <definedName name="Clim_OR" localSheetId="0">#REF!</definedName>
    <definedName name="Clim_OR" localSheetId="3">#REF!</definedName>
    <definedName name="Clim_OR">#REF!</definedName>
    <definedName name="COLO" localSheetId="4">#REF!</definedName>
    <definedName name="COLO" localSheetId="0">#REF!</definedName>
    <definedName name="COLO" localSheetId="3">#REF!</definedName>
    <definedName name="COLO">#REF!</definedName>
    <definedName name="DF" localSheetId="4">#REF!</definedName>
    <definedName name="DF" localSheetId="0">#REF!</definedName>
    <definedName name="DF" localSheetId="3">#REF!</definedName>
    <definedName name="DF">#REF!</definedName>
    <definedName name="Douglasfir" localSheetId="4">#REF!</definedName>
    <definedName name="Douglasfir" localSheetId="0">#REF!</definedName>
    <definedName name="Douglasfir" localSheetId="3">#REF!</definedName>
    <definedName name="Douglasfir">#REF!</definedName>
    <definedName name="Ecohydrology" localSheetId="4">#REF!</definedName>
    <definedName name="Ecohydrology" localSheetId="0">#REF!</definedName>
    <definedName name="Ecohydrology" localSheetId="3">#REF!</definedName>
    <definedName name="Ecohydrology">#REF!</definedName>
    <definedName name="Ecohydrology2" localSheetId="4">#REF!</definedName>
    <definedName name="Ecohydrology2" localSheetId="0">#REF!</definedName>
    <definedName name="Ecohydrology2" localSheetId="3">#REF!</definedName>
    <definedName name="Ecohydrology2">#REF!</definedName>
    <definedName name="evap" localSheetId="4">#REF!</definedName>
    <definedName name="evap" localSheetId="0">#REF!</definedName>
    <definedName name="evap" localSheetId="3">#REF!</definedName>
    <definedName name="evap">#REF!</definedName>
    <definedName name="extreme" localSheetId="4">#REF!</definedName>
    <definedName name="extreme" localSheetId="0">#REF!</definedName>
    <definedName name="extreme" localSheetId="3">#REF!</definedName>
    <definedName name="extreme">#REF!</definedName>
    <definedName name="F" localSheetId="4">#REF!</definedName>
    <definedName name="F" localSheetId="0">#REF!</definedName>
    <definedName name="F" localSheetId="3">#REF!</definedName>
    <definedName name="F">#REF!</definedName>
    <definedName name="FF" localSheetId="4">#REF!</definedName>
    <definedName name="FF" localSheetId="0">#REF!</definedName>
    <definedName name="FF" localSheetId="3">#REF!</definedName>
    <definedName name="FF">#REF!</definedName>
    <definedName name="Flagstaff" localSheetId="4">#REF!</definedName>
    <definedName name="Flagstaff" localSheetId="0">#REF!</definedName>
    <definedName name="Flagstaff" localSheetId="3">#REF!</definedName>
    <definedName name="Flagstaff">#REF!</definedName>
    <definedName name="FWZ" localSheetId="4">#REF!</definedName>
    <definedName name="FWZ" localSheetId="0">#REF!</definedName>
    <definedName name="FWZ" localSheetId="3">#REF!</definedName>
    <definedName name="FWZ">#REF!</definedName>
    <definedName name="G" localSheetId="4">#REF!</definedName>
    <definedName name="G" localSheetId="0">#REF!</definedName>
    <definedName name="G" localSheetId="3">#REF!</definedName>
    <definedName name="G">#REF!</definedName>
    <definedName name="H" localSheetId="4">#REF!</definedName>
    <definedName name="H" localSheetId="0">#REF!</definedName>
    <definedName name="H" localSheetId="3">#REF!</definedName>
    <definedName name="H">#REF!</definedName>
    <definedName name="I" localSheetId="4">#REF!</definedName>
    <definedName name="I" localSheetId="0">#REF!</definedName>
    <definedName name="I" localSheetId="3">#REF!</definedName>
    <definedName name="I">#REF!</definedName>
    <definedName name="III" localSheetId="4">#REF!</definedName>
    <definedName name="III" localSheetId="0">#REF!</definedName>
    <definedName name="III" localSheetId="3">#REF!</definedName>
    <definedName name="III">#REF!</definedName>
    <definedName name="IJ" localSheetId="4">#REF!</definedName>
    <definedName name="IJ" localSheetId="0">#REF!</definedName>
    <definedName name="IJ" localSheetId="3">#REF!</definedName>
    <definedName name="IJ">#REF!</definedName>
    <definedName name="J" localSheetId="4">#REF!</definedName>
    <definedName name="J" localSheetId="0">#REF!</definedName>
    <definedName name="J" localSheetId="3">#REF!</definedName>
    <definedName name="J">#REF!</definedName>
    <definedName name="K" localSheetId="4">#REF!</definedName>
    <definedName name="K" localSheetId="0">#REF!</definedName>
    <definedName name="K" localSheetId="3">#REF!</definedName>
    <definedName name="K">#REF!</definedName>
    <definedName name="KL" localSheetId="4">#REF!</definedName>
    <definedName name="KL" localSheetId="0">#REF!</definedName>
    <definedName name="KL" localSheetId="3">#REF!</definedName>
    <definedName name="KL">#REF!</definedName>
    <definedName name="L" localSheetId="4">#REF!</definedName>
    <definedName name="L" localSheetId="0">#REF!</definedName>
    <definedName name="L" localSheetId="3">#REF!</definedName>
    <definedName name="L">#REF!</definedName>
    <definedName name="Latitude" localSheetId="4">#REF!</definedName>
    <definedName name="Latitude" localSheetId="0">#REF!</definedName>
    <definedName name="Latitude" localSheetId="3">#REF!</definedName>
    <definedName name="Latitude">#REF!</definedName>
    <definedName name="LI" localSheetId="4">#REF!</definedName>
    <definedName name="LI" localSheetId="0">#REF!</definedName>
    <definedName name="LI" localSheetId="3">#REF!</definedName>
    <definedName name="LI">#REF!</definedName>
    <definedName name="LK" localSheetId="4">#REF!</definedName>
    <definedName name="LK" localSheetId="0">#REF!</definedName>
    <definedName name="LK" localSheetId="3">#REF!</definedName>
    <definedName name="LK">#REF!</definedName>
    <definedName name="Longitude" localSheetId="4">#REF!</definedName>
    <definedName name="Longitude" localSheetId="0">#REF!</definedName>
    <definedName name="Longitude" localSheetId="3">#REF!</definedName>
    <definedName name="Longitude">#REF!</definedName>
    <definedName name="LTER" localSheetId="4">#REF!</definedName>
    <definedName name="LTER" localSheetId="0">#REF!</definedName>
    <definedName name="LTER" localSheetId="3">#REF!</definedName>
    <definedName name="LTER">#REF!</definedName>
    <definedName name="m" localSheetId="4">#REF!</definedName>
    <definedName name="m" localSheetId="0">#REF!</definedName>
    <definedName name="m" localSheetId="3">#REF!</definedName>
    <definedName name="m">#REF!</definedName>
    <definedName name="Metdata" localSheetId="4">#REF!</definedName>
    <definedName name="Metdata" localSheetId="0">#REF!</definedName>
    <definedName name="Metdata" localSheetId="3">#REF!</definedName>
    <definedName name="Metdata">#REF!</definedName>
    <definedName name="Metolius" localSheetId="4">#REF!</definedName>
    <definedName name="Metolius" localSheetId="0">#REF!</definedName>
    <definedName name="Metolius" localSheetId="3">#REF!</definedName>
    <definedName name="Metolius">#REF!</definedName>
    <definedName name="Month" localSheetId="4">#REF!</definedName>
    <definedName name="Month" localSheetId="0">#REF!</definedName>
    <definedName name="Month" localSheetId="3">#REF!</definedName>
    <definedName name="Month">#REF!</definedName>
    <definedName name="n" localSheetId="4">#REF!</definedName>
    <definedName name="n" localSheetId="0">#REF!</definedName>
    <definedName name="n" localSheetId="3">#REF!</definedName>
    <definedName name="n">#REF!</definedName>
    <definedName name="newmetolus" localSheetId="4">#REF!</definedName>
    <definedName name="newmetolus" localSheetId="0">#REF!</definedName>
    <definedName name="newmetolus" localSheetId="3">#REF!</definedName>
    <definedName name="newmetolus">#REF!</definedName>
    <definedName name="NO" localSheetId="4">#REF!</definedName>
    <definedName name="NO" localSheetId="0">#REF!</definedName>
    <definedName name="NO" localSheetId="3">#REF!</definedName>
    <definedName name="NO">#REF!</definedName>
    <definedName name="p" localSheetId="4">#REF!</definedName>
    <definedName name="p" localSheetId="0">#REF!</definedName>
    <definedName name="p" localSheetId="3">#REF!</definedName>
    <definedName name="p">#REF!</definedName>
    <definedName name="Pem" localSheetId="4">#REF!</definedName>
    <definedName name="Pem" localSheetId="0">#REF!</definedName>
    <definedName name="Pem" localSheetId="3">#REF!</definedName>
    <definedName name="Pem">#REF!</definedName>
    <definedName name="Pemberton" localSheetId="4">#REF!</definedName>
    <definedName name="Pemberton" localSheetId="0">#REF!</definedName>
    <definedName name="Pemberton" localSheetId="3">#REF!</definedName>
    <definedName name="Pemberton">#REF!</definedName>
    <definedName name="Pemberton_average" localSheetId="4">#REF!</definedName>
    <definedName name="Pemberton_average" localSheetId="0">#REF!</definedName>
    <definedName name="Pemberton_average" localSheetId="3">#REF!</definedName>
    <definedName name="Pemberton_average">#REF!</definedName>
    <definedName name="Pemberton_xyx" localSheetId="4">#REF!</definedName>
    <definedName name="Pemberton_xyx" localSheetId="0">#REF!</definedName>
    <definedName name="Pemberton_xyx" localSheetId="3">#REF!</definedName>
    <definedName name="Pemberton_xyx">#REF!</definedName>
    <definedName name="ponderosa" localSheetId="4">#REF!</definedName>
    <definedName name="ponderosa" localSheetId="0">#REF!</definedName>
    <definedName name="ponderosa" localSheetId="3">#REF!</definedName>
    <definedName name="ponderosa">#REF!</definedName>
    <definedName name="PQ" localSheetId="4">#REF!</definedName>
    <definedName name="PQ" localSheetId="0">#REF!</definedName>
    <definedName name="PQ" localSheetId="3">#REF!</definedName>
    <definedName name="PQ">#REF!</definedName>
    <definedName name="_xlnm.Print_Area" localSheetId="2">'3PGpjs2.7_Parameters'!$B$2:$K$114</definedName>
    <definedName name="_xlnm.Print_Area" localSheetId="4">Clim_Alder!$1:$1048576</definedName>
    <definedName name="_xlnm.Print_Area" localSheetId="0">Clim_CAFS!$1:$1048576</definedName>
    <definedName name="_xlnm.Print_Area" localSheetId="3">'SingleSite_Red Alder'!$1:$1048576</definedName>
    <definedName name="Q" localSheetId="4">#REF!</definedName>
    <definedName name="Q" localSheetId="0">#REF!</definedName>
    <definedName name="Q" localSheetId="3">#REF!</definedName>
    <definedName name="Q">#REF!</definedName>
    <definedName name="QH" localSheetId="4">#REF!</definedName>
    <definedName name="QH" localSheetId="0">#REF!</definedName>
    <definedName name="QH" localSheetId="3">#REF!</definedName>
    <definedName name="QH">#REF!</definedName>
    <definedName name="RETEST" localSheetId="4">#REF!</definedName>
    <definedName name="RETEST" localSheetId="0">#REF!</definedName>
    <definedName name="RETEST" localSheetId="3">#REF!</definedName>
    <definedName name="RETEST">#REF!</definedName>
    <definedName name="RS" localSheetId="4">#REF!</definedName>
    <definedName name="RS" localSheetId="0">#REF!</definedName>
    <definedName name="RS" localSheetId="3">#REF!</definedName>
    <definedName name="RS">#REF!</definedName>
    <definedName name="slo" localSheetId="4">#REF!</definedName>
    <definedName name="slo" localSheetId="0">#REF!</definedName>
    <definedName name="slo" localSheetId="3">#REF!</definedName>
    <definedName name="slo">#REF!</definedName>
    <definedName name="Slope" localSheetId="4">#REF!</definedName>
    <definedName name="Slope" localSheetId="0">#REF!</definedName>
    <definedName name="Slope" localSheetId="3">#REF!</definedName>
    <definedName name="Slope">#REF!</definedName>
    <definedName name="slope1" localSheetId="4">#REF!</definedName>
    <definedName name="slope1" localSheetId="0">#REF!</definedName>
    <definedName name="slope1" localSheetId="3">#REF!</definedName>
    <definedName name="slope1">#REF!</definedName>
    <definedName name="Socorro" localSheetId="4">#REF!</definedName>
    <definedName name="Socorro" localSheetId="0">#REF!</definedName>
    <definedName name="Socorro" localSheetId="3">#REF!</definedName>
    <definedName name="Socorro">#REF!</definedName>
    <definedName name="Socorro2" localSheetId="4">#REF!</definedName>
    <definedName name="Socorro2" localSheetId="0">#REF!</definedName>
    <definedName name="Socorro2" localSheetId="3">#REF!</definedName>
    <definedName name="Socorro2">#REF!</definedName>
    <definedName name="Solar_Constant" localSheetId="4">#REF!</definedName>
    <definedName name="Solar_Constant" localSheetId="0">#REF!</definedName>
    <definedName name="Solar_Constant" localSheetId="3">#REF!</definedName>
    <definedName name="Solar_Constant">#REF!</definedName>
    <definedName name="ST" localSheetId="4">#REF!</definedName>
    <definedName name="ST" localSheetId="0">#REF!</definedName>
    <definedName name="ST" localSheetId="3">#REF!</definedName>
    <definedName name="ST">#REF!</definedName>
    <definedName name="Standard_Meridian" localSheetId="4">#REF!</definedName>
    <definedName name="Standard_Meridian" localSheetId="0">#REF!</definedName>
    <definedName name="Standard_Meridian" localSheetId="3">#REF!</definedName>
    <definedName name="Standard_Meridian">#REF!</definedName>
    <definedName name="StandardMeridian" localSheetId="4">#REF!</definedName>
    <definedName name="StandardMeridian" localSheetId="0">#REF!</definedName>
    <definedName name="StandardMeridian" localSheetId="3">#REF!</definedName>
    <definedName name="StandardMeridian">#REF!</definedName>
    <definedName name="T" localSheetId="4">#REF!</definedName>
    <definedName name="T" localSheetId="0">#REF!</definedName>
    <definedName name="T" localSheetId="3">#REF!</definedName>
    <definedName name="T">#REF!</definedName>
    <definedName name="tes2t" localSheetId="4">#REF!</definedName>
    <definedName name="tes2t" localSheetId="0">#REF!</definedName>
    <definedName name="tes2t" localSheetId="3">#REF!</definedName>
    <definedName name="tes2t">#REF!</definedName>
    <definedName name="Test" localSheetId="4">#REF!</definedName>
    <definedName name="Test" localSheetId="0">#REF!</definedName>
    <definedName name="Test" localSheetId="3">#REF!</definedName>
    <definedName name="Test">#REF!</definedName>
    <definedName name="test1" localSheetId="4">#REF!</definedName>
    <definedName name="test1" localSheetId="0">#REF!</definedName>
    <definedName name="test1" localSheetId="3">#REF!</definedName>
    <definedName name="test1">#REF!</definedName>
    <definedName name="testable" localSheetId="4">#REF!</definedName>
    <definedName name="testable" localSheetId="0">#REF!</definedName>
    <definedName name="testable" localSheetId="3">#REF!</definedName>
    <definedName name="testable">#REF!</definedName>
    <definedName name="TEXT" localSheetId="4">#REF!</definedName>
    <definedName name="TEXT" localSheetId="0">#REF!</definedName>
    <definedName name="TEXT" localSheetId="3">#REF!</definedName>
    <definedName name="TEXT">#REF!</definedName>
    <definedName name="Transmissivity" localSheetId="4">#REF!</definedName>
    <definedName name="Transmissivity" localSheetId="0">#REF!</definedName>
    <definedName name="Transmissivity" localSheetId="3">#REF!</definedName>
    <definedName name="Transmissivity">#REF!</definedName>
    <definedName name="u" localSheetId="4">#REF!</definedName>
    <definedName name="u" localSheetId="0">#REF!</definedName>
    <definedName name="u" localSheetId="3">#REF!</definedName>
    <definedName name="u">#REF!</definedName>
    <definedName name="UU" localSheetId="4">#REF!</definedName>
    <definedName name="UU" localSheetId="0">#REF!</definedName>
    <definedName name="UU" localSheetId="3">#REF!</definedName>
    <definedName name="UU">#REF!</definedName>
    <definedName name="valid" localSheetId="4">#REF!</definedName>
    <definedName name="valid" localSheetId="0">#REF!</definedName>
    <definedName name="valid" localSheetId="3">#REF!</definedName>
    <definedName name="valid">#REF!</definedName>
    <definedName name="x" localSheetId="4">#REF!</definedName>
    <definedName name="x" localSheetId="0">#REF!</definedName>
    <definedName name="x" localSheetId="3">#REF!</definedName>
    <definedName name="x">#REF!</definedName>
    <definedName name="XYZ" localSheetId="4">#REF!</definedName>
    <definedName name="XYZ" localSheetId="0">#REF!</definedName>
    <definedName name="XYZ" localSheetId="3">#REF!</definedName>
    <definedName name="XYZ">#REF!</definedName>
    <definedName name="Z" localSheetId="4">#REF!</definedName>
    <definedName name="Z" localSheetId="0">#REF!</definedName>
    <definedName name="Z" localSheetId="3">#REF!</definedName>
    <definedName name="Z">#REF!</definedName>
    <definedName name="zf" localSheetId="4">#REF!</definedName>
    <definedName name="zf" localSheetId="0">#REF!</definedName>
    <definedName name="zf" localSheetId="3">#REF!</definedName>
    <definedName name="z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36537" l="1"/>
  <c r="U3" i="36537"/>
  <c r="U4" i="36537" l="1"/>
  <c r="AX6" i="36537" l="1"/>
  <c r="I52" i="36382" l="1"/>
  <c r="I53" i="36382"/>
</calcChain>
</file>

<file path=xl/sharedStrings.xml><?xml version="1.0" encoding="utf-8"?>
<sst xmlns="http://schemas.openxmlformats.org/spreadsheetml/2006/main" count="631" uniqueCount="392">
  <si>
    <t>The 3PGpjs program</t>
  </si>
  <si>
    <t xml:space="preserve">   </t>
  </si>
  <si>
    <t xml:space="preserve">Do NOT change the format of this block.  You can edit values in the </t>
  </si>
  <si>
    <t>value columns, or add columns of values to the right for additional species.</t>
  </si>
  <si>
    <t>Meaning/comments</t>
  </si>
  <si>
    <t>Name</t>
  </si>
  <si>
    <t>Units</t>
  </si>
  <si>
    <t>E. globulus</t>
  </si>
  <si>
    <t>Biomass partitioning and turnover</t>
  </si>
  <si>
    <t>(S&amp;L 2002)</t>
  </si>
  <si>
    <t>(BFG)</t>
  </si>
  <si>
    <t>Allometric relationships &amp; partitioning</t>
  </si>
  <si>
    <t>Foliage:stem partitioning ratio @ D=2 cm</t>
  </si>
  <si>
    <t>pFS2</t>
  </si>
  <si>
    <t>-</t>
  </si>
  <si>
    <t>Foliage:stem partitioning ratio @ D=20 cm</t>
  </si>
  <si>
    <t>pFS20</t>
  </si>
  <si>
    <t>Maximum fraction of NPP to roots</t>
  </si>
  <si>
    <t>pRx</t>
  </si>
  <si>
    <t>Minimum fraction of NPP to roots</t>
  </si>
  <si>
    <t>pRn</t>
  </si>
  <si>
    <t>Litterfall &amp; root turnover</t>
  </si>
  <si>
    <t>Maximum litterfall rate</t>
  </si>
  <si>
    <t>1/month</t>
  </si>
  <si>
    <t>Litterfall rate at t = 0</t>
  </si>
  <si>
    <t>gammaF0</t>
  </si>
  <si>
    <t>Age at which litterfall rate has median value</t>
  </si>
  <si>
    <t>tgammaF</t>
  </si>
  <si>
    <t>months</t>
  </si>
  <si>
    <t>Average monthly root turnover rate</t>
  </si>
  <si>
    <t>gammaR</t>
  </si>
  <si>
    <t>NPP &amp; conductance modifiers</t>
  </si>
  <si>
    <t>Temperature modifier (fT)</t>
  </si>
  <si>
    <t>Minimum temperature for growth</t>
  </si>
  <si>
    <t>Tmin</t>
  </si>
  <si>
    <t>deg. C</t>
  </si>
  <si>
    <t>Optimum temperature for growth</t>
  </si>
  <si>
    <t>Topt</t>
  </si>
  <si>
    <t>Maximum temperature for growth</t>
  </si>
  <si>
    <t>Tmax</t>
  </si>
  <si>
    <t>Frost modifier (fFRost)</t>
  </si>
  <si>
    <t>Days production lost per frost day</t>
  </si>
  <si>
    <t>kF</t>
  </si>
  <si>
    <t>days</t>
  </si>
  <si>
    <t>Soil water modifier (fSW)</t>
  </si>
  <si>
    <t>SWconst</t>
  </si>
  <si>
    <t>Power of moisture ratio deficit</t>
  </si>
  <si>
    <t>SWpower</t>
  </si>
  <si>
    <t>Fertitlity effects</t>
  </si>
  <si>
    <t>Value of 'm' when FR = 0</t>
  </si>
  <si>
    <t>m0</t>
  </si>
  <si>
    <t>Value of 'fNutr' when FR = 0</t>
  </si>
  <si>
    <t>fN0</t>
  </si>
  <si>
    <t xml:space="preserve">Power of (1-FR) in 'fNutr' </t>
  </si>
  <si>
    <t>fNn</t>
  </si>
  <si>
    <t>Age modifier (fAge)</t>
  </si>
  <si>
    <t>Maximum stand age used in age modifier</t>
  </si>
  <si>
    <t>MaxAge</t>
  </si>
  <si>
    <t>years</t>
  </si>
  <si>
    <t>Power of relative age in function for fAge</t>
  </si>
  <si>
    <t>nAge</t>
  </si>
  <si>
    <t>Relative age to give fAge = 0.5</t>
  </si>
  <si>
    <t>rAge</t>
  </si>
  <si>
    <t>Stem mortality &amp; self-thinning</t>
  </si>
  <si>
    <t>Mortality rate for large t</t>
  </si>
  <si>
    <t>%/year</t>
  </si>
  <si>
    <t>Seedling mortality rate (t = 0)</t>
  </si>
  <si>
    <t>gammaN0</t>
  </si>
  <si>
    <t>Age at which mortality rate has median value</t>
  </si>
  <si>
    <t>tgammaN</t>
  </si>
  <si>
    <t>Shape of mortality response</t>
  </si>
  <si>
    <t>ngammaN</t>
  </si>
  <si>
    <t>Max. stem mass per tree @ 1000 trees/hectare</t>
  </si>
  <si>
    <t>wSx1000</t>
  </si>
  <si>
    <t>kg/tree</t>
  </si>
  <si>
    <t>Power in self-thinning rule</t>
  </si>
  <si>
    <t>thinPower</t>
  </si>
  <si>
    <t>Fraction mean single-tree foliage biomass lost per dead tree</t>
  </si>
  <si>
    <t>mF</t>
  </si>
  <si>
    <t>Fraction mean single-tree root biomass lost per dead tree</t>
  </si>
  <si>
    <t>mR</t>
  </si>
  <si>
    <t>Fraction mean single-tree stem biomass lost per dead tree</t>
  </si>
  <si>
    <t>mS</t>
  </si>
  <si>
    <t>Canopy structure and processes</t>
  </si>
  <si>
    <t>Specific leaf area</t>
  </si>
  <si>
    <t>Specific leaf area at age 0</t>
  </si>
  <si>
    <t>SLA0</t>
  </si>
  <si>
    <t>Specific leaf area for mature leaves</t>
  </si>
  <si>
    <t>SLA1</t>
  </si>
  <si>
    <t>Age at which specific leaf area = (SLA0+SLA1)/2</t>
  </si>
  <si>
    <t>tSLA</t>
  </si>
  <si>
    <t>Light interception</t>
  </si>
  <si>
    <t>Extinction coefficient for absorption of PAR by canopy</t>
  </si>
  <si>
    <t>k</t>
  </si>
  <si>
    <t>fullCanAge</t>
  </si>
  <si>
    <t>Maximum proportion of rainfall evaporated from canopy</t>
  </si>
  <si>
    <t>MaxIntcptn</t>
  </si>
  <si>
    <t>LAI for maximum rainfall interception</t>
  </si>
  <si>
    <t>LAImaxIntcptn</t>
  </si>
  <si>
    <t>Production and respiration</t>
  </si>
  <si>
    <t>Canopy quantum efficiency</t>
  </si>
  <si>
    <t>alpha</t>
  </si>
  <si>
    <t>molC/molPAR</t>
  </si>
  <si>
    <t>Ratio NPP/GPP</t>
  </si>
  <si>
    <t>Y</t>
  </si>
  <si>
    <t>Conductance</t>
  </si>
  <si>
    <t>Maximum canopy conductance</t>
  </si>
  <si>
    <t>MaxCond</t>
  </si>
  <si>
    <t>m/s</t>
  </si>
  <si>
    <t>LAI for maximum canopy conductance</t>
  </si>
  <si>
    <t>LAIgcx</t>
  </si>
  <si>
    <t>Defines stomatal response to VPD</t>
  </si>
  <si>
    <t>CoeffCond</t>
  </si>
  <si>
    <t>1/mBar</t>
  </si>
  <si>
    <t>Canopy boundary layer conductance</t>
  </si>
  <si>
    <t>BLcond</t>
  </si>
  <si>
    <t>Wood and stand properties</t>
  </si>
  <si>
    <t>Branch and bark fraction (fracBB)</t>
  </si>
  <si>
    <t>Branch and bark fraction at age 0</t>
  </si>
  <si>
    <t>fracBB0</t>
  </si>
  <si>
    <t>Branch and bark fraction for mature stands</t>
  </si>
  <si>
    <t>fracBB1</t>
  </si>
  <si>
    <t>Age at which fracBB = (fracBB0+fracBB1)/2</t>
  </si>
  <si>
    <t>tBB</t>
  </si>
  <si>
    <t>Basic Density</t>
  </si>
  <si>
    <t>Minimum basic density - for young trees</t>
  </si>
  <si>
    <t>t/m3</t>
  </si>
  <si>
    <t>Maximum basic density - for older trees</t>
  </si>
  <si>
    <t>Age at which rho = (rhoMin+rhoMax)/2</t>
  </si>
  <si>
    <t>tRho</t>
  </si>
  <si>
    <t>Stem height</t>
  </si>
  <si>
    <t>Constant in the stem height relationship</t>
  </si>
  <si>
    <t>aH</t>
  </si>
  <si>
    <t>Stem volume</t>
  </si>
  <si>
    <t>Constant in the stem volume relationship</t>
  </si>
  <si>
    <t>aV</t>
  </si>
  <si>
    <t>Power of DBH in the stem volume relationship</t>
  </si>
  <si>
    <t>nVB</t>
  </si>
  <si>
    <t>Power of stocking in the stem volume relationship</t>
  </si>
  <si>
    <t>nVN</t>
  </si>
  <si>
    <t>Conversion factors</t>
  </si>
  <si>
    <t>Intercept of net v. solar radiation relationship</t>
  </si>
  <si>
    <t>Qa</t>
  </si>
  <si>
    <t>W/m2</t>
  </si>
  <si>
    <t>Slope of net v. solar radiation relationship</t>
  </si>
  <si>
    <t>Qb</t>
  </si>
  <si>
    <t>Molecular weight of dry matter</t>
  </si>
  <si>
    <t>gDM_mol</t>
  </si>
  <si>
    <t>gDM/mol</t>
  </si>
  <si>
    <t>Conversion of solar radiation to PAR</t>
  </si>
  <si>
    <t>molPAR_MJ</t>
  </si>
  <si>
    <t>mol/MJ</t>
  </si>
  <si>
    <t>Standard 3PGpjs options</t>
  </si>
  <si>
    <t>no</t>
  </si>
  <si>
    <t>yes</t>
  </si>
  <si>
    <r>
      <t>Moisture ratio deficit for f</t>
    </r>
    <r>
      <rPr>
        <vertAlign val="subscript"/>
        <sz val="10"/>
        <color indexed="8"/>
        <rFont val="Symbol"/>
        <family val="1"/>
        <charset val="2"/>
      </rPr>
      <t>q</t>
    </r>
    <r>
      <rPr>
        <sz val="10"/>
        <color indexed="8"/>
        <rFont val="Arial"/>
        <family val="2"/>
      </rPr>
      <t xml:space="preserve"> = 0.5 </t>
    </r>
  </si>
  <si>
    <r>
      <t>m</t>
    </r>
    <r>
      <rPr>
        <vertAlign val="superscript"/>
        <sz val="10"/>
        <color indexed="8"/>
        <rFont val="Arial"/>
        <family val="2"/>
      </rPr>
      <t>2</t>
    </r>
    <r>
      <rPr>
        <sz val="10"/>
        <color indexed="8"/>
        <rFont val="Arial"/>
        <family val="2"/>
      </rPr>
      <t>/kg</t>
    </r>
  </si>
  <si>
    <r>
      <t>Interpolate lookups?</t>
    </r>
    <r>
      <rPr>
        <sz val="10"/>
        <rFont val="Arial"/>
        <family val="2"/>
      </rPr>
      <t xml:space="preserve"> (Yes/No)</t>
    </r>
  </si>
  <si>
    <r>
      <t xml:space="preserve">Output frequency </t>
    </r>
    <r>
      <rPr>
        <sz val="10"/>
        <rFont val="Arial"/>
        <family val="2"/>
      </rPr>
      <t>(None, Rotation, Annual or Monthly)</t>
    </r>
  </si>
  <si>
    <r>
      <t xml:space="preserve">Clear output region? </t>
    </r>
    <r>
      <rPr>
        <sz val="10"/>
        <rFont val="Arial"/>
        <family val="2"/>
      </rPr>
      <t>(Yes/No)</t>
    </r>
  </si>
  <si>
    <r>
      <t>Output data</t>
    </r>
    <r>
      <rPr>
        <sz val="10"/>
        <rFont val="Arial"/>
        <family val="2"/>
      </rPr>
      <t xml:space="preserve"> (3-PG names from 3PGpjs_Outputs)</t>
    </r>
  </si>
  <si>
    <t>Then open 3PGpjs.data.xls and use the Tools|Add-Ins menu to activate the 3PGpjs add-in.</t>
  </si>
  <si>
    <t>Trial</t>
  </si>
  <si>
    <t>Minimum canopy conductance</t>
  </si>
  <si>
    <t>MinCond</t>
  </si>
  <si>
    <t>Atmospheric CO2 modifier (fCO2)</t>
  </si>
  <si>
    <t>fCalpha700</t>
  </si>
  <si>
    <t>fCg700</t>
  </si>
  <si>
    <t>Assimialtion enhancement factor at 700 ppm</t>
  </si>
  <si>
    <t>Canopy conductance enhancement factor at 700 ppm</t>
  </si>
  <si>
    <t>1) Copy the sheet 3PGpjs2.6_Parameters to all workbooks with which
    you intend to use 3PGpjs2.6.</t>
  </si>
  <si>
    <t>3PGpjs is intended to be installed and run as an Excel add-in. See the file 3PGpjsReadMeFirst.pdf for full installation details. Running 3PGpjs as an add-in does make updating the program code a lot easier, and reduces file sizes!</t>
  </si>
  <si>
    <t>To create a 3PGpjs add-in, go to "File|Save as", select "Excel add-in" as the file type, browse to the directory where you want to save the add-in, and press "Save".</t>
  </si>
  <si>
    <r>
      <t>Important note:</t>
    </r>
    <r>
      <rPr>
        <sz val="12"/>
        <color indexed="10"/>
        <rFont val="Comic Sans MS"/>
        <family val="4"/>
      </rPr>
      <t xml:space="preserve">
 3PG_Parameters sheets from earlier version of 3PGpjs will not work with 3PGpjs2.6 as there are new parameters. So:</t>
    </r>
  </si>
  <si>
    <t xml:space="preserve">2) Update it with any change you made to the default parameter values 
    when using earlier version of 3PGpjs. </t>
  </si>
  <si>
    <r>
      <t xml:space="preserve">Standard 3PG parameters </t>
    </r>
    <r>
      <rPr>
        <b/>
        <sz val="10"/>
        <color indexed="8"/>
        <rFont val="Arial"/>
        <family val="2"/>
      </rPr>
      <t>(3PGpjs vsn 2.7, 3-PG vsn 1, September 2010)</t>
    </r>
  </si>
  <si>
    <t>Slash</t>
  </si>
  <si>
    <t xml:space="preserve">Run type : </t>
  </si>
  <si>
    <t>SingleSite</t>
  </si>
  <si>
    <t>Stand initialisation and site factor data</t>
  </si>
  <si>
    <t>Optional parameter block</t>
  </si>
  <si>
    <t xml:space="preserve">Site : </t>
  </si>
  <si>
    <t>Date planted =</t>
  </si>
  <si>
    <t>Latitude =</t>
  </si>
  <si>
    <t>Parameters</t>
  </si>
  <si>
    <t xml:space="preserve">Species : </t>
  </si>
  <si>
    <t xml:space="preserve">Initial year = </t>
  </si>
  <si>
    <t>Fertility rating =</t>
  </si>
  <si>
    <t xml:space="preserve">Climate data : </t>
  </si>
  <si>
    <t>Initial month =</t>
  </si>
  <si>
    <t>Soil class =</t>
  </si>
  <si>
    <t xml:space="preserve">Met station : </t>
  </si>
  <si>
    <t>End age =</t>
  </si>
  <si>
    <t>Maximum ASW =</t>
  </si>
  <si>
    <t xml:space="preserve">Title : </t>
  </si>
  <si>
    <t xml:space="preserve">Initial WF = </t>
  </si>
  <si>
    <t>Minimum ASW =</t>
  </si>
  <si>
    <t xml:space="preserve">Initial WR = </t>
  </si>
  <si>
    <t xml:space="preserve">Atmospheric CO2 = </t>
  </si>
  <si>
    <t>Silvicultural events</t>
  </si>
  <si>
    <t xml:space="preserve">Initial WS = </t>
  </si>
  <si>
    <t xml:space="preserve">Initial stocking = </t>
  </si>
  <si>
    <t xml:space="preserve">Initial ASW = </t>
  </si>
  <si>
    <t>Output details</t>
  </si>
  <si>
    <t xml:space="preserve">Output frequency : </t>
  </si>
  <si>
    <t xml:space="preserve">Output data : </t>
  </si>
  <si>
    <t xml:space="preserve">Output sheet : </t>
  </si>
  <si>
    <t xml:space="preserve">Output ages : </t>
  </si>
  <si>
    <t>Year &amp; month</t>
  </si>
  <si>
    <t>Stand age</t>
  </si>
  <si>
    <t>Stems</t>
  </si>
  <si>
    <t>Mean DBH</t>
  </si>
  <si>
    <t xml:space="preserve">Database format : </t>
  </si>
  <si>
    <t>Table format</t>
  </si>
  <si>
    <t>Note well: the location of the name of the met station - in the case below</t>
  </si>
  <si>
    <r>
      <t xml:space="preserve">"mean data" -  is critical: It must appear above the heading of the </t>
    </r>
    <r>
      <rPr>
        <b/>
        <sz val="10"/>
        <color indexed="10"/>
        <rFont val="Arial"/>
        <family val="2"/>
      </rPr>
      <t>month</t>
    </r>
  </si>
  <si>
    <t>column in the table of climate data.</t>
  </si>
  <si>
    <t xml:space="preserve">Station = </t>
  </si>
  <si>
    <t>Year</t>
  </si>
  <si>
    <t>Month</t>
  </si>
  <si>
    <t>Rain</t>
  </si>
  <si>
    <t>Solar rad</t>
  </si>
  <si>
    <t>Jan</t>
  </si>
  <si>
    <t>Feb</t>
  </si>
  <si>
    <t>March</t>
  </si>
  <si>
    <t>April</t>
  </si>
  <si>
    <t>May</t>
  </si>
  <si>
    <t>June</t>
  </si>
  <si>
    <t>July</t>
  </si>
  <si>
    <t>Aug</t>
  </si>
  <si>
    <t>Sep</t>
  </si>
  <si>
    <t>Oct</t>
  </si>
  <si>
    <t>Nov</t>
  </si>
  <si>
    <t>Dec</t>
  </si>
  <si>
    <t>Constant in the stem volume ratio relationship</t>
  </si>
  <si>
    <t>Power of Vol inside bark in the stem volume ratio relationship</t>
  </si>
  <si>
    <t>Power of stocking in the stem volume ratio relationship</t>
  </si>
  <si>
    <t>nVRN</t>
  </si>
  <si>
    <t>nVRVi</t>
  </si>
  <si>
    <t>Power of Age in the stem volume ratio relationship</t>
  </si>
  <si>
    <t>aVR</t>
  </si>
  <si>
    <t>nVRAge</t>
  </si>
  <si>
    <t>Volume Ratio</t>
  </si>
  <si>
    <t>Monthly</t>
  </si>
  <si>
    <t>Latitude</t>
  </si>
  <si>
    <t>Foliage DM</t>
  </si>
  <si>
    <t>Stem DM</t>
  </si>
  <si>
    <t>LAI</t>
  </si>
  <si>
    <t>Site</t>
  </si>
  <si>
    <t>aHN</t>
  </si>
  <si>
    <t>aHBA</t>
  </si>
  <si>
    <t>aHAge</t>
  </si>
  <si>
    <t>Enter Site Index (m)</t>
  </si>
  <si>
    <t>Fertility Rating Estimation</t>
  </si>
  <si>
    <t>a</t>
  </si>
  <si>
    <t>Fertility Rating =</t>
  </si>
  <si>
    <t>Initial Biomass Estimation</t>
  </si>
  <si>
    <t>Enter DBH (cm)</t>
  </si>
  <si>
    <t>Enter stocking (ha-1)</t>
  </si>
  <si>
    <t>WF=</t>
  </si>
  <si>
    <t>WR=</t>
  </si>
  <si>
    <t>WS=</t>
  </si>
  <si>
    <t>Merchantable Volume Partitioning</t>
  </si>
  <si>
    <t>STd</t>
  </si>
  <si>
    <t>inch</t>
  </si>
  <si>
    <t>STt</t>
  </si>
  <si>
    <t>Threshold dbh for Sawtimber</t>
  </si>
  <si>
    <t>Top diameter limit for Sawtimber</t>
  </si>
  <si>
    <t>Threshold dbh for Chip-and-Saw</t>
  </si>
  <si>
    <t>Top diameter limit for Chip-and-Saw</t>
  </si>
  <si>
    <t>CNSt</t>
  </si>
  <si>
    <t>CNSd</t>
  </si>
  <si>
    <t>Threshold dbh for Pulpwood</t>
  </si>
  <si>
    <t>Top diameter limit for Pulpwood</t>
  </si>
  <si>
    <t>PWt</t>
  </si>
  <si>
    <t>PWd</t>
  </si>
  <si>
    <t>Enter Age (years)</t>
  </si>
  <si>
    <t>fullCanBA</t>
  </si>
  <si>
    <t>(ton ha-1)</t>
  </si>
  <si>
    <t>Constant of Age in the stem height relationship</t>
  </si>
  <si>
    <t>Constant of BA in the stem height relationship</t>
  </si>
  <si>
    <t>Constant of stocking in the stem height relationship</t>
  </si>
  <si>
    <t>Constant in the diam.  v. stem mass relationship</t>
  </si>
  <si>
    <t>Power in the diam.  v. stem mass relationship</t>
  </si>
  <si>
    <t>Power of Age in the diam.  v. stem mass relationship</t>
  </si>
  <si>
    <t>a1Ws</t>
  </si>
  <si>
    <t>n1Ws</t>
  </si>
  <si>
    <t>n2Ws</t>
  </si>
  <si>
    <r>
      <t>Enter Height (m)</t>
    </r>
    <r>
      <rPr>
        <b/>
        <sz val="10"/>
        <color indexed="10"/>
        <rFont val="Arial"/>
        <family val="2"/>
      </rPr>
      <t xml:space="preserve"> </t>
    </r>
  </si>
  <si>
    <t>CanBA1</t>
  </si>
  <si>
    <t>gammaFmax</t>
  </si>
  <si>
    <t>Month at which needlefall rate has maximum value</t>
  </si>
  <si>
    <t>Maximum needlefall rate</t>
  </si>
  <si>
    <t>month</t>
  </si>
  <si>
    <t>tgammaFmax</t>
  </si>
  <si>
    <t>kFF</t>
  </si>
  <si>
    <t>Average yearly forest floor decay rate</t>
  </si>
  <si>
    <t>1/year</t>
  </si>
  <si>
    <t>Stand volume OB</t>
  </si>
  <si>
    <t>Loblolly</t>
  </si>
  <si>
    <t>Above Ground DM</t>
  </si>
  <si>
    <t>Penman transp.</t>
  </si>
  <si>
    <t>n3Ws</t>
  </si>
  <si>
    <t>Stand volume IB</t>
  </si>
  <si>
    <t>c</t>
  </si>
  <si>
    <t>Power of Nha in the diam.  v. stem mass relationship</t>
  </si>
  <si>
    <t>b</t>
  </si>
  <si>
    <t>FR / SI</t>
  </si>
  <si>
    <t>kF1</t>
  </si>
  <si>
    <t>Days production lost per degree celcius below zero on frost day</t>
  </si>
  <si>
    <t>Intercept in the diam.  v. stem mass relationship</t>
  </si>
  <si>
    <t>a11Ws</t>
  </si>
  <si>
    <t>a0H</t>
  </si>
  <si>
    <t>Intercept in the stem height relationship</t>
  </si>
  <si>
    <t>Constant of QMD in the stem height relationship</t>
  </si>
  <si>
    <t>Power of QMD in the stem height relationship</t>
  </si>
  <si>
    <t>aHD</t>
  </si>
  <si>
    <t>nHD</t>
  </si>
  <si>
    <t>Power of Age in the pFS relationship</t>
  </si>
  <si>
    <t>Constant in the pFS relationship</t>
  </si>
  <si>
    <t>gammaN1</t>
  </si>
  <si>
    <t>gammaF1</t>
  </si>
  <si>
    <t>rho0</t>
  </si>
  <si>
    <t>rho1</t>
  </si>
  <si>
    <t>Fertilization Age =</t>
  </si>
  <si>
    <t>Fertilization Rate =</t>
  </si>
  <si>
    <t>Power of QMD in the pFS relationship</t>
  </si>
  <si>
    <t>fSW</t>
  </si>
  <si>
    <t>fT</t>
  </si>
  <si>
    <t>ASW</t>
  </si>
  <si>
    <t>fVPD</t>
  </si>
  <si>
    <t>Vol. Water Content</t>
  </si>
  <si>
    <t>Soil Matric Pot.</t>
  </si>
  <si>
    <t>Water Stress Integral</t>
  </si>
  <si>
    <t>(GB 2018)</t>
  </si>
  <si>
    <t>P. radiata2</t>
  </si>
  <si>
    <t>Radiata</t>
  </si>
  <si>
    <t>Height</t>
  </si>
  <si>
    <t>SCL</t>
  </si>
  <si>
    <t>#Output from 3PGpjs 2.7 / 3-PG For Loblolly Pine vsn 2 February2018</t>
  </si>
  <si>
    <t>Thinning Criteria =</t>
  </si>
  <si>
    <t>ThinUp =</t>
  </si>
  <si>
    <t>ThinLow =</t>
  </si>
  <si>
    <t>BA</t>
  </si>
  <si>
    <t>Loblolly_SA</t>
  </si>
  <si>
    <t>scl</t>
  </si>
  <si>
    <t>1998 - Jan</t>
  </si>
  <si>
    <t>Sawtimber IB</t>
  </si>
  <si>
    <t>Chip-and-Saw IB</t>
  </si>
  <si>
    <t>Pulpwood IB</t>
  </si>
  <si>
    <t>Campbell</t>
  </si>
  <si>
    <t>Underhill</t>
  </si>
  <si>
    <t>Huffman</t>
  </si>
  <si>
    <t>Red Alder</t>
  </si>
  <si>
    <t>Clim_Alder</t>
  </si>
  <si>
    <t>Tmn</t>
  </si>
  <si>
    <t>Rad</t>
  </si>
  <si>
    <t>Alder</t>
  </si>
  <si>
    <t>Stand development for Alder</t>
  </si>
  <si>
    <t>January</t>
  </si>
  <si>
    <t>pFSa1</t>
  </si>
  <si>
    <t>pFSa2</t>
  </si>
  <si>
    <t>pFSa3</t>
  </si>
  <si>
    <t>Foliage litter</t>
  </si>
  <si>
    <t>Total litter</t>
  </si>
  <si>
    <t>Max LAI</t>
  </si>
  <si>
    <t>Constant in the Canopy Cover relationship</t>
  </si>
  <si>
    <t>Power of Age in the Canopy Cover relationship</t>
  </si>
  <si>
    <t>Power of BA in the Canopy Cover relationship</t>
  </si>
  <si>
    <t>a11</t>
  </si>
  <si>
    <t>a12</t>
  </si>
  <si>
    <t>a13</t>
  </si>
  <si>
    <t>BARK</t>
  </si>
  <si>
    <t>a21</t>
  </si>
  <si>
    <t>a22</t>
  </si>
  <si>
    <t>a23</t>
  </si>
  <si>
    <t>BRANCH</t>
  </si>
  <si>
    <t>a31</t>
  </si>
  <si>
    <t>a32</t>
  </si>
  <si>
    <t>a33</t>
  </si>
  <si>
    <t>FOL</t>
  </si>
  <si>
    <t>a41</t>
  </si>
  <si>
    <t>a42</t>
  </si>
  <si>
    <t>a43</t>
  </si>
  <si>
    <t>Longitude</t>
  </si>
  <si>
    <t>Canadian</t>
  </si>
  <si>
    <t>WOOD</t>
  </si>
  <si>
    <t>1995/1</t>
  </si>
  <si>
    <t>stemNo, StandVolob, BasArea, avDBH, Height, WS, WF, LAI,WF, AGW,   AGW, Transp, ASW, fSW, fTemp, fVPD, VWC, SMPot, WSInt, ST, CNS ,PW, StandVol, WL, WFF, LAIx</t>
  </si>
  <si>
    <t>site alder</t>
  </si>
  <si>
    <t>d</t>
  </si>
  <si>
    <t>2022 -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</si>
</sst>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_-* #,##0.0_-;\-* #,##0.0_-;_-* &quot;-&quot;??_-;_-@_-"/>
    <numFmt numFmtId="168" formatCode="_-* #,##0_-;\-* #,##0_-;_-* &quot;-&quot;??_-;_-@_-"/>
    <numFmt numFmtId="169" formatCode="_-* #,##0.000_-;\-* #,##0.000_-;_-* &quot;-&quot;??_-;_-@_-"/>
    <numFmt numFmtId="170" formatCode="_-* #,##0.0000_-;\-* #,##0.0000_-;_-* &quot;-&quot;??_-;_-@_-"/>
    <numFmt numFmtId="171" formatCode="0.0000"/>
    <numFmt numFmtId="172" formatCode="_(* #,##0.0_);_(* \(#,##0.0\);_(* &quot;-&quot;?_);_(@_)"/>
  </numFmts>
  <fonts count="6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mic Sans MS"/>
      <family val="4"/>
    </font>
    <font>
      <b/>
      <sz val="16"/>
      <color indexed="17"/>
      <name val="Comic Sans MS"/>
      <family val="4"/>
    </font>
    <font>
      <sz val="10"/>
      <color indexed="10"/>
      <name val="Comic Sans MS"/>
      <family val="4"/>
    </font>
    <font>
      <sz val="14"/>
      <color indexed="18"/>
      <name val="Comic Sans MS"/>
      <family val="4"/>
    </font>
    <font>
      <sz val="12"/>
      <color indexed="10"/>
      <name val="Comic Sans MS"/>
      <family val="4"/>
    </font>
    <font>
      <sz val="12"/>
      <color indexed="18"/>
      <name val="Comic Sans MS"/>
      <family val="4"/>
    </font>
    <font>
      <sz val="8"/>
      <name val="Arial"/>
      <family val="2"/>
    </font>
    <font>
      <sz val="10"/>
      <color indexed="8"/>
      <name val="Arial"/>
      <family val="2"/>
    </font>
    <font>
      <sz val="18"/>
      <color indexed="8"/>
      <name val="Arial"/>
      <family val="2"/>
    </font>
    <font>
      <b/>
      <sz val="10"/>
      <color indexed="8"/>
      <name val="Arial"/>
      <family val="2"/>
    </font>
    <font>
      <b/>
      <sz val="18"/>
      <color indexed="18"/>
      <name val="Arial"/>
      <family val="2"/>
    </font>
    <font>
      <b/>
      <sz val="12"/>
      <color indexed="10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b/>
      <sz val="12"/>
      <color indexed="16"/>
      <name val="Arial"/>
      <family val="2"/>
    </font>
    <font>
      <b/>
      <sz val="10"/>
      <color indexed="16"/>
      <name val="Arial"/>
      <family val="2"/>
    </font>
    <font>
      <vertAlign val="subscript"/>
      <sz val="10"/>
      <color indexed="8"/>
      <name val="Symbol"/>
      <family val="1"/>
      <charset val="2"/>
    </font>
    <font>
      <vertAlign val="superscript"/>
      <sz val="10"/>
      <color indexed="8"/>
      <name val="Arial"/>
      <family val="2"/>
    </font>
    <font>
      <b/>
      <sz val="10"/>
      <name val="Arial"/>
      <family val="2"/>
    </font>
    <font>
      <sz val="8"/>
      <name val="Comic Sans MS"/>
      <family val="4"/>
    </font>
    <font>
      <sz val="8"/>
      <color indexed="18"/>
      <name val="Comic Sans MS"/>
      <family val="4"/>
    </font>
    <font>
      <sz val="16"/>
      <color indexed="10"/>
      <name val="Comic Sans MS"/>
      <family val="4"/>
    </font>
    <font>
      <b/>
      <sz val="14"/>
      <color indexed="18"/>
      <name val="Arial"/>
      <family val="2"/>
    </font>
    <font>
      <b/>
      <sz val="14"/>
      <color indexed="8"/>
      <name val="Arial"/>
      <family val="2"/>
    </font>
    <font>
      <b/>
      <u/>
      <sz val="12"/>
      <color indexed="58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sz val="10"/>
      <color indexed="18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Arial"/>
      <family val="2"/>
    </font>
    <font>
      <b/>
      <sz val="10"/>
      <color theme="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1372">
    <xf numFmtId="0" fontId="0" fillId="0" borderId="0"/>
    <xf numFmtId="0" fontId="48" fillId="7" borderId="0" applyNumberFormat="0" applyBorder="0" applyAlignment="0" applyProtection="0"/>
    <xf numFmtId="0" fontId="48" fillId="7" borderId="0" applyNumberFormat="0" applyBorder="0" applyAlignment="0" applyProtection="0"/>
    <xf numFmtId="0" fontId="48" fillId="8" borderId="0" applyNumberFormat="0" applyBorder="0" applyAlignment="0" applyProtection="0"/>
    <xf numFmtId="0" fontId="48" fillId="8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10" borderId="0" applyNumberFormat="0" applyBorder="0" applyAlignment="0" applyProtection="0"/>
    <xf numFmtId="0" fontId="48" fillId="10" borderId="0" applyNumberFormat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48" fillId="13" borderId="0" applyNumberFormat="0" applyBorder="0" applyAlignment="0" applyProtection="0"/>
    <xf numFmtId="0" fontId="48" fillId="13" borderId="0" applyNumberFormat="0" applyBorder="0" applyAlignment="0" applyProtection="0"/>
    <xf numFmtId="0" fontId="48" fillId="14" borderId="0" applyNumberFormat="0" applyBorder="0" applyAlignment="0" applyProtection="0"/>
    <xf numFmtId="0" fontId="48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8" fillId="16" borderId="0" applyNumberFormat="0" applyBorder="0" applyAlignment="0" applyProtection="0"/>
    <xf numFmtId="0" fontId="48" fillId="17" borderId="0" applyNumberFormat="0" applyBorder="0" applyAlignment="0" applyProtection="0"/>
    <xf numFmtId="0" fontId="48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18" borderId="0" applyNumberFormat="0" applyBorder="0" applyAlignment="0" applyProtection="0"/>
    <xf numFmtId="0" fontId="49" fillId="19" borderId="0" applyNumberFormat="0" applyBorder="0" applyAlignment="0" applyProtection="0"/>
    <xf numFmtId="0" fontId="49" fillId="20" borderId="0" applyNumberFormat="0" applyBorder="0" applyAlignment="0" applyProtection="0"/>
    <xf numFmtId="0" fontId="49" fillId="21" borderId="0" applyNumberFormat="0" applyBorder="0" applyAlignment="0" applyProtection="0"/>
    <xf numFmtId="0" fontId="49" fillId="22" borderId="0" applyNumberFormat="0" applyBorder="0" applyAlignment="0" applyProtection="0"/>
    <xf numFmtId="0" fontId="49" fillId="23" borderId="0" applyNumberFormat="0" applyBorder="0" applyAlignment="0" applyProtection="0"/>
    <xf numFmtId="0" fontId="49" fillId="24" borderId="0" applyNumberFormat="0" applyBorder="0" applyAlignment="0" applyProtection="0"/>
    <xf numFmtId="0" fontId="49" fillId="25" borderId="0" applyNumberFormat="0" applyBorder="0" applyAlignment="0" applyProtection="0"/>
    <xf numFmtId="0" fontId="49" fillId="26" borderId="0" applyNumberFormat="0" applyBorder="0" applyAlignment="0" applyProtection="0"/>
    <xf numFmtId="0" fontId="49" fillId="27" borderId="0" applyNumberFormat="0" applyBorder="0" applyAlignment="0" applyProtection="0"/>
    <xf numFmtId="0" fontId="49" fillId="28" borderId="0" applyNumberFormat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50" fillId="31" borderId="0" applyNumberFormat="0" applyBorder="0" applyAlignment="0" applyProtection="0"/>
    <xf numFmtId="0" fontId="51" fillId="32" borderId="12" applyNumberFormat="0" applyAlignment="0" applyProtection="0"/>
    <xf numFmtId="0" fontId="52" fillId="33" borderId="13" applyNumberFormat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48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48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34" borderId="0" applyNumberFormat="0" applyBorder="0" applyAlignment="0" applyProtection="0"/>
    <xf numFmtId="0" fontId="55" fillId="0" borderId="14" applyNumberFormat="0" applyFill="0" applyAlignment="0" applyProtection="0"/>
    <xf numFmtId="0" fontId="56" fillId="0" borderId="15" applyNumberFormat="0" applyFill="0" applyAlignment="0" applyProtection="0"/>
    <xf numFmtId="0" fontId="57" fillId="0" borderId="16" applyNumberFormat="0" applyFill="0" applyAlignment="0" applyProtection="0"/>
    <xf numFmtId="0" fontId="57" fillId="0" borderId="0" applyNumberFormat="0" applyFill="0" applyBorder="0" applyAlignment="0" applyProtection="0"/>
    <xf numFmtId="0" fontId="58" fillId="35" borderId="12" applyNumberFormat="0" applyAlignment="0" applyProtection="0"/>
    <xf numFmtId="0" fontId="59" fillId="0" borderId="17" applyNumberFormat="0" applyFill="0" applyAlignment="0" applyProtection="0"/>
    <xf numFmtId="0" fontId="60" fillId="36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7" fillId="0" borderId="0"/>
    <xf numFmtId="0" fontId="4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8" fillId="0" borderId="0"/>
    <xf numFmtId="0" fontId="4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8" fillId="0" borderId="0"/>
    <xf numFmtId="0" fontId="4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1" fillId="0" borderId="0">
      <alignment vertical="center"/>
    </xf>
    <xf numFmtId="0" fontId="61" fillId="0" borderId="0">
      <alignment vertical="center"/>
    </xf>
    <xf numFmtId="0" fontId="4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4" fillId="0" borderId="0"/>
    <xf numFmtId="0" fontId="48" fillId="37" borderId="18" applyNumberFormat="0" applyFont="0" applyAlignment="0" applyProtection="0"/>
    <xf numFmtId="0" fontId="62" fillId="32" borderId="19" applyNumberFormat="0" applyAlignment="0" applyProtection="0"/>
    <xf numFmtId="9" fontId="48" fillId="0" borderId="0" applyFon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20" applyNumberFormat="0" applyFill="0" applyAlignment="0" applyProtection="0"/>
    <xf numFmtId="0" fontId="65" fillId="0" borderId="0" applyNumberForma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319">
    <xf numFmtId="0" fontId="0" fillId="0" borderId="0" xfId="0"/>
    <xf numFmtId="0" fontId="8" fillId="0" borderId="0" xfId="0" applyFont="1" applyAlignment="1">
      <alignment vertical="top" wrapText="1"/>
    </xf>
    <xf numFmtId="0" fontId="11" fillId="0" borderId="0" xfId="0" applyFont="1" applyAlignment="1">
      <alignment horizontal="center" vertical="top" wrapText="1"/>
    </xf>
    <xf numFmtId="0" fontId="8" fillId="2" borderId="1" xfId="0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 wrapText="1"/>
    </xf>
    <xf numFmtId="0" fontId="10" fillId="2" borderId="0" xfId="0" applyFont="1" applyFill="1" applyAlignment="1">
      <alignment horizontal="left" vertical="top" wrapText="1"/>
    </xf>
    <xf numFmtId="0" fontId="13" fillId="2" borderId="0" xfId="0" applyFont="1" applyFill="1" applyAlignment="1">
      <alignment horizontal="left" vertical="top" wrapText="1"/>
    </xf>
    <xf numFmtId="0" fontId="11" fillId="2" borderId="1" xfId="0" applyFont="1" applyFill="1" applyBorder="1" applyAlignment="1">
      <alignment horizontal="center" vertical="top" wrapText="1"/>
    </xf>
    <xf numFmtId="0" fontId="11" fillId="2" borderId="2" xfId="0" applyFont="1" applyFill="1" applyBorder="1" applyAlignment="1">
      <alignment horizontal="center" vertical="top" wrapText="1"/>
    </xf>
    <xf numFmtId="0" fontId="8" fillId="2" borderId="3" xfId="0" applyFont="1" applyFill="1" applyBorder="1" applyAlignment="1">
      <alignment vertical="top" wrapText="1"/>
    </xf>
    <xf numFmtId="0" fontId="8" fillId="2" borderId="4" xfId="0" applyFont="1" applyFill="1" applyBorder="1" applyAlignment="1">
      <alignment horizontal="left" vertical="top" wrapText="1"/>
    </xf>
    <xf numFmtId="0" fontId="8" fillId="2" borderId="5" xfId="0" applyFont="1" applyFill="1" applyBorder="1" applyAlignment="1">
      <alignment vertical="top" wrapText="1"/>
    </xf>
    <xf numFmtId="0" fontId="9" fillId="2" borderId="0" xfId="0" applyFont="1" applyFill="1" applyAlignment="1">
      <alignment horizontal="center" vertical="top" wrapText="1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/>
    <xf numFmtId="0" fontId="0" fillId="3" borderId="0" xfId="0" applyFill="1" applyAlignment="1">
      <alignment wrapText="1"/>
    </xf>
    <xf numFmtId="0" fontId="15" fillId="0" borderId="0" xfId="0" applyFont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3" borderId="0" xfId="0" applyFont="1" applyFill="1" applyAlignment="1">
      <alignment horizontal="center" vertical="center" wrapText="1"/>
    </xf>
    <xf numFmtId="0" fontId="22" fillId="3" borderId="0" xfId="0" applyFont="1" applyFill="1" applyAlignment="1">
      <alignment horizontal="right"/>
    </xf>
    <xf numFmtId="0" fontId="15" fillId="3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17" fillId="0" borderId="0" xfId="0" applyFont="1" applyAlignment="1">
      <alignment horizontal="left"/>
    </xf>
    <xf numFmtId="0" fontId="23" fillId="3" borderId="0" xfId="0" applyFont="1" applyFill="1" applyAlignment="1">
      <alignment horizontal="right"/>
    </xf>
    <xf numFmtId="0" fontId="15" fillId="3" borderId="0" xfId="0" applyFont="1" applyFill="1" applyAlignment="1">
      <alignment horizontal="right"/>
    </xf>
    <xf numFmtId="0" fontId="15" fillId="3" borderId="0" xfId="1356" applyFont="1" applyFill="1" applyAlignment="1">
      <alignment horizontal="center"/>
    </xf>
    <xf numFmtId="0" fontId="0" fillId="4" borderId="0" xfId="0" applyFill="1"/>
    <xf numFmtId="0" fontId="18" fillId="4" borderId="0" xfId="0" applyFont="1" applyFill="1" applyAlignment="1">
      <alignment horizontal="left" vertical="center" inden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horizontal="right" vertical="center" wrapText="1"/>
    </xf>
    <xf numFmtId="0" fontId="26" fillId="4" borderId="0" xfId="0" applyFont="1" applyFill="1" applyAlignment="1">
      <alignment horizontal="left" vertical="center" indent="2"/>
    </xf>
    <xf numFmtId="0" fontId="0" fillId="4" borderId="0" xfId="0" applyFill="1" applyAlignment="1">
      <alignment horizontal="left" vertical="center" wrapText="1"/>
    </xf>
    <xf numFmtId="0" fontId="26" fillId="4" borderId="0" xfId="0" applyFont="1" applyFill="1" applyAlignment="1">
      <alignment horizontal="left" vertical="center" wrapText="1" indent="2"/>
    </xf>
    <xf numFmtId="0" fontId="8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left" vertical="top" wrapText="1"/>
    </xf>
    <xf numFmtId="0" fontId="11" fillId="5" borderId="0" xfId="0" applyFont="1" applyFill="1" applyAlignment="1">
      <alignment horizontal="center" vertical="top" wrapText="1"/>
    </xf>
    <xf numFmtId="0" fontId="0" fillId="5" borderId="0" xfId="0" applyFill="1"/>
    <xf numFmtId="0" fontId="27" fillId="5" borderId="0" xfId="0" applyFont="1" applyFill="1" applyAlignment="1">
      <alignment vertical="top" wrapText="1"/>
    </xf>
    <xf numFmtId="0" fontId="27" fillId="2" borderId="1" xfId="0" applyFont="1" applyFill="1" applyBorder="1" applyAlignment="1">
      <alignment vertical="top" wrapText="1"/>
    </xf>
    <xf numFmtId="0" fontId="28" fillId="2" borderId="0" xfId="0" applyFont="1" applyFill="1" applyAlignment="1">
      <alignment horizontal="left" vertical="top" wrapText="1"/>
    </xf>
    <xf numFmtId="0" fontId="27" fillId="2" borderId="2" xfId="0" applyFont="1" applyFill="1" applyBorder="1" applyAlignment="1">
      <alignment vertical="top" wrapText="1"/>
    </xf>
    <xf numFmtId="0" fontId="27" fillId="0" borderId="0" xfId="0" applyFont="1" applyAlignment="1">
      <alignment vertical="top" wrapText="1"/>
    </xf>
    <xf numFmtId="0" fontId="29" fillId="2" borderId="0" xfId="0" applyFont="1" applyFill="1" applyAlignment="1">
      <alignment horizontal="center" vertical="top" wrapText="1"/>
    </xf>
    <xf numFmtId="0" fontId="7" fillId="0" borderId="0" xfId="0" applyFont="1"/>
    <xf numFmtId="1" fontId="0" fillId="0" borderId="0" xfId="0" applyNumberFormat="1" applyAlignment="1">
      <alignment horizontal="center"/>
    </xf>
    <xf numFmtId="0" fontId="30" fillId="0" borderId="0" xfId="1356" applyFont="1" applyAlignment="1">
      <alignment horizontal="right" vertical="center"/>
    </xf>
    <xf numFmtId="0" fontId="31" fillId="0" borderId="0" xfId="1356" applyFont="1" applyAlignment="1">
      <alignment vertical="center"/>
    </xf>
    <xf numFmtId="0" fontId="7" fillId="0" borderId="0" xfId="1356" applyFont="1"/>
    <xf numFmtId="0" fontId="32" fillId="4" borderId="3" xfId="0" applyFont="1" applyFill="1" applyBorder="1" applyAlignment="1">
      <alignment horizontal="left" vertical="center" indent="1"/>
    </xf>
    <xf numFmtId="0" fontId="32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20" fillId="2" borderId="4" xfId="1356" applyFont="1" applyFill="1" applyBorder="1"/>
    <xf numFmtId="0" fontId="0" fillId="2" borderId="4" xfId="0" applyFill="1" applyBorder="1" applyAlignment="1">
      <alignment horizontal="center" vertical="center"/>
    </xf>
    <xf numFmtId="0" fontId="21" fillId="0" borderId="0" xfId="0" applyFont="1" applyAlignment="1">
      <alignment horizontal="right"/>
    </xf>
    <xf numFmtId="0" fontId="26" fillId="0" borderId="0" xfId="1356" applyFont="1"/>
    <xf numFmtId="0" fontId="21" fillId="4" borderId="0" xfId="1356" applyFont="1" applyFill="1" applyAlignment="1">
      <alignment horizontal="right"/>
    </xf>
    <xf numFmtId="0" fontId="15" fillId="4" borderId="0" xfId="1356" applyFont="1" applyFill="1"/>
    <xf numFmtId="0" fontId="0" fillId="4" borderId="2" xfId="0" applyFill="1" applyBorder="1" applyAlignment="1">
      <alignment horizontal="left"/>
    </xf>
    <xf numFmtId="0" fontId="20" fillId="2" borderId="0" xfId="1356" applyFont="1" applyFill="1"/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34" fillId="0" borderId="0" xfId="1356" applyFont="1" applyAlignment="1">
      <alignment vertical="top"/>
    </xf>
    <xf numFmtId="0" fontId="34" fillId="0" borderId="0" xfId="1356" applyFont="1" applyAlignment="1">
      <alignment vertical="center"/>
    </xf>
    <xf numFmtId="0" fontId="35" fillId="2" borderId="0" xfId="1356" applyFont="1" applyFill="1" applyAlignment="1">
      <alignment horizontal="right"/>
    </xf>
    <xf numFmtId="0" fontId="7" fillId="2" borderId="0" xfId="1356" applyFont="1" applyFill="1" applyAlignment="1">
      <alignment horizontal="left"/>
    </xf>
    <xf numFmtId="0" fontId="0" fillId="0" borderId="0" xfId="0" applyAlignment="1">
      <alignment vertical="center"/>
    </xf>
    <xf numFmtId="0" fontId="7" fillId="2" borderId="0" xfId="1356" applyFont="1" applyFill="1"/>
    <xf numFmtId="0" fontId="7" fillId="2" borderId="4" xfId="1356" applyFont="1" applyFill="1" applyBorder="1"/>
    <xf numFmtId="0" fontId="7" fillId="2" borderId="4" xfId="1356" applyFont="1" applyFill="1" applyBorder="1" applyAlignment="1">
      <alignment horizontal="center"/>
    </xf>
    <xf numFmtId="0" fontId="20" fillId="2" borderId="0" xfId="1356" applyFont="1" applyFill="1" applyAlignment="1">
      <alignment horizontal="center"/>
    </xf>
    <xf numFmtId="0" fontId="34" fillId="0" borderId="0" xfId="1356" applyFont="1"/>
    <xf numFmtId="0" fontId="17" fillId="2" borderId="0" xfId="1356" applyFont="1" applyFill="1" applyAlignment="1">
      <alignment horizontal="center"/>
    </xf>
    <xf numFmtId="0" fontId="15" fillId="2" borderId="0" xfId="1356" applyFont="1" applyFill="1" applyAlignment="1">
      <alignment horizontal="center"/>
    </xf>
    <xf numFmtId="0" fontId="7" fillId="4" borderId="1" xfId="1356" applyFont="1" applyFill="1" applyBorder="1"/>
    <xf numFmtId="0" fontId="33" fillId="0" borderId="0" xfId="1356" applyFont="1"/>
    <xf numFmtId="1" fontId="37" fillId="4" borderId="6" xfId="1356" applyNumberFormat="1" applyFont="1" applyFill="1" applyBorder="1" applyAlignment="1">
      <alignment horizontal="left"/>
    </xf>
    <xf numFmtId="1" fontId="37" fillId="4" borderId="7" xfId="1356" applyNumberFormat="1" applyFont="1" applyFill="1" applyBorder="1" applyAlignment="1">
      <alignment horizontal="left"/>
    </xf>
    <xf numFmtId="1" fontId="38" fillId="4" borderId="7" xfId="1356" applyNumberFormat="1" applyFont="1" applyFill="1" applyBorder="1" applyAlignment="1">
      <alignment horizontal="left"/>
    </xf>
    <xf numFmtId="0" fontId="15" fillId="2" borderId="7" xfId="1356" applyFont="1" applyFill="1" applyBorder="1" applyAlignment="1">
      <alignment horizontal="center"/>
    </xf>
    <xf numFmtId="1" fontId="37" fillId="6" borderId="1" xfId="1356" applyNumberFormat="1" applyFont="1" applyFill="1" applyBorder="1" applyAlignment="1">
      <alignment horizontal="left"/>
    </xf>
    <xf numFmtId="0" fontId="32" fillId="6" borderId="0" xfId="0" applyFont="1" applyFill="1" applyAlignment="1">
      <alignment horizontal="left" vertical="center"/>
    </xf>
    <xf numFmtId="0" fontId="7" fillId="6" borderId="0" xfId="1356" applyFont="1" applyFill="1"/>
    <xf numFmtId="0" fontId="34" fillId="6" borderId="0" xfId="0" applyFont="1" applyFill="1" applyAlignment="1">
      <alignment horizontal="center" vertical="center"/>
    </xf>
    <xf numFmtId="0" fontId="37" fillId="6" borderId="0" xfId="1356" applyFont="1" applyFill="1" applyAlignment="1">
      <alignment horizontal="left"/>
    </xf>
    <xf numFmtId="0" fontId="15" fillId="6" borderId="0" xfId="1356" applyFont="1" applyFill="1" applyAlignment="1">
      <alignment horizontal="center"/>
    </xf>
    <xf numFmtId="0" fontId="7" fillId="6" borderId="1" xfId="1356" applyFont="1" applyFill="1" applyBorder="1"/>
    <xf numFmtId="0" fontId="21" fillId="6" borderId="0" xfId="1356" applyFont="1" applyFill="1" applyAlignment="1">
      <alignment horizontal="right" vertical="top"/>
    </xf>
    <xf numFmtId="0" fontId="7" fillId="6" borderId="0" xfId="1356" applyFont="1" applyFill="1" applyAlignment="1">
      <alignment horizontal="left"/>
    </xf>
    <xf numFmtId="0" fontId="7" fillId="6" borderId="0" xfId="1356" applyFont="1" applyFill="1" applyAlignment="1">
      <alignment horizontal="center"/>
    </xf>
    <xf numFmtId="1" fontId="37" fillId="0" borderId="0" xfId="1356" applyNumberFormat="1" applyFont="1" applyAlignment="1">
      <alignment horizontal="left"/>
    </xf>
    <xf numFmtId="0" fontId="7" fillId="6" borderId="6" xfId="1356" applyFont="1" applyFill="1" applyBorder="1"/>
    <xf numFmtId="0" fontId="7" fillId="6" borderId="7" xfId="1356" applyFont="1" applyFill="1" applyBorder="1"/>
    <xf numFmtId="0" fontId="21" fillId="6" borderId="7" xfId="1356" applyFont="1" applyFill="1" applyBorder="1" applyAlignment="1">
      <alignment horizontal="right" vertical="top"/>
    </xf>
    <xf numFmtId="0" fontId="7" fillId="6" borderId="7" xfId="1356" applyFont="1" applyFill="1" applyBorder="1" applyAlignment="1">
      <alignment horizontal="center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" fontId="0" fillId="0" borderId="0" xfId="0" applyNumberFormat="1" applyAlignment="1">
      <alignment horizontal="left"/>
    </xf>
    <xf numFmtId="0" fontId="34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6" fillId="0" borderId="0" xfId="266" applyFont="1" applyAlignment="1">
      <alignment horizontal="center"/>
    </xf>
    <xf numFmtId="0" fontId="7" fillId="0" borderId="0" xfId="266" applyAlignment="1">
      <alignment horizontal="center"/>
    </xf>
    <xf numFmtId="0" fontId="7" fillId="0" borderId="0" xfId="266" applyAlignment="1">
      <alignment horizontal="center" vertical="center" wrapText="1"/>
    </xf>
    <xf numFmtId="165" fontId="7" fillId="0" borderId="0" xfId="266" applyNumberFormat="1" applyAlignment="1">
      <alignment horizontal="center"/>
    </xf>
    <xf numFmtId="0" fontId="7" fillId="4" borderId="0" xfId="0" applyFont="1" applyFill="1" applyAlignment="1">
      <alignment horizontal="left" vertical="center"/>
    </xf>
    <xf numFmtId="164" fontId="7" fillId="0" borderId="0" xfId="40" applyAlignment="1">
      <alignment horizontal="center"/>
    </xf>
    <xf numFmtId="164" fontId="0" fillId="0" borderId="0" xfId="40" applyFont="1"/>
    <xf numFmtId="167" fontId="0" fillId="0" borderId="0" xfId="40" applyNumberFormat="1" applyFont="1"/>
    <xf numFmtId="167" fontId="0" fillId="0" borderId="0" xfId="40" applyNumberFormat="1" applyFont="1" applyAlignment="1">
      <alignment horizontal="center"/>
    </xf>
    <xf numFmtId="167" fontId="7" fillId="0" borderId="0" xfId="40" applyNumberFormat="1" applyFont="1"/>
    <xf numFmtId="167" fontId="0" fillId="6" borderId="0" xfId="40" applyNumberFormat="1" applyFont="1" applyFill="1" applyBorder="1"/>
    <xf numFmtId="167" fontId="7" fillId="6" borderId="0" xfId="40" applyNumberFormat="1" applyFont="1" applyFill="1" applyBorder="1"/>
    <xf numFmtId="167" fontId="7" fillId="6" borderId="7" xfId="40" applyNumberFormat="1" applyFont="1" applyFill="1" applyBorder="1"/>
    <xf numFmtId="167" fontId="0" fillId="0" borderId="0" xfId="40" applyNumberFormat="1" applyFont="1" applyAlignment="1">
      <alignment horizontal="center" vertical="center"/>
    </xf>
    <xf numFmtId="164" fontId="0" fillId="0" borderId="0" xfId="40" applyFont="1" applyAlignment="1">
      <alignment horizontal="center"/>
    </xf>
    <xf numFmtId="0" fontId="7" fillId="4" borderId="0" xfId="0" applyFont="1" applyFill="1" applyAlignment="1">
      <alignment horizontal="left" vertical="center" wrapText="1"/>
    </xf>
    <xf numFmtId="164" fontId="33" fillId="2" borderId="4" xfId="40" applyFont="1" applyFill="1" applyBorder="1" applyAlignment="1">
      <alignment horizontal="left"/>
    </xf>
    <xf numFmtId="164" fontId="33" fillId="2" borderId="0" xfId="40" applyFont="1" applyFill="1" applyBorder="1" applyAlignment="1">
      <alignment horizontal="left" vertical="center"/>
    </xf>
    <xf numFmtId="164" fontId="33" fillId="2" borderId="0" xfId="40" applyFont="1" applyFill="1" applyBorder="1" applyAlignment="1">
      <alignment horizontal="left"/>
    </xf>
    <xf numFmtId="164" fontId="7" fillId="2" borderId="0" xfId="40" applyFont="1" applyFill="1" applyBorder="1"/>
    <xf numFmtId="164" fontId="7" fillId="2" borderId="4" xfId="40" applyFont="1" applyFill="1" applyBorder="1" applyAlignment="1">
      <alignment horizontal="center"/>
    </xf>
    <xf numFmtId="164" fontId="20" fillId="2" borderId="0" xfId="40" applyFont="1" applyFill="1" applyBorder="1" applyAlignment="1">
      <alignment horizontal="center"/>
    </xf>
    <xf numFmtId="164" fontId="17" fillId="2" borderId="0" xfId="40" applyFont="1" applyFill="1" applyBorder="1" applyAlignment="1">
      <alignment horizontal="center"/>
    </xf>
    <xf numFmtId="164" fontId="15" fillId="2" borderId="0" xfId="40" applyFont="1" applyFill="1" applyBorder="1" applyAlignment="1">
      <alignment horizontal="center"/>
    </xf>
    <xf numFmtId="164" fontId="15" fillId="2" borderId="7" xfId="40" applyFont="1" applyFill="1" applyBorder="1" applyAlignment="1">
      <alignment horizontal="center"/>
    </xf>
    <xf numFmtId="164" fontId="15" fillId="6" borderId="0" xfId="40" applyFont="1" applyFill="1" applyBorder="1"/>
    <xf numFmtId="164" fontId="0" fillId="6" borderId="0" xfId="40" applyFont="1" applyFill="1" applyBorder="1"/>
    <xf numFmtId="164" fontId="7" fillId="6" borderId="0" xfId="40" applyFont="1" applyFill="1" applyBorder="1"/>
    <xf numFmtId="164" fontId="7" fillId="6" borderId="7" xfId="40" applyFont="1" applyFill="1" applyBorder="1"/>
    <xf numFmtId="164" fontId="7" fillId="0" borderId="0" xfId="40" applyFont="1"/>
    <xf numFmtId="167" fontId="7" fillId="2" borderId="5" xfId="40" applyNumberFormat="1" applyFont="1" applyFill="1" applyBorder="1"/>
    <xf numFmtId="167" fontId="7" fillId="2" borderId="2" xfId="40" applyNumberFormat="1" applyFont="1" applyFill="1" applyBorder="1"/>
    <xf numFmtId="167" fontId="7" fillId="2" borderId="5" xfId="40" applyNumberFormat="1" applyFont="1" applyFill="1" applyBorder="1" applyAlignment="1">
      <alignment horizontal="center"/>
    </xf>
    <xf numFmtId="167" fontId="20" fillId="2" borderId="2" xfId="40" applyNumberFormat="1" applyFont="1" applyFill="1" applyBorder="1" applyAlignment="1">
      <alignment horizontal="center"/>
    </xf>
    <xf numFmtId="167" fontId="17" fillId="2" borderId="2" xfId="40" applyNumberFormat="1" applyFont="1" applyFill="1" applyBorder="1" applyAlignment="1">
      <alignment horizontal="center"/>
    </xf>
    <xf numFmtId="167" fontId="15" fillId="2" borderId="2" xfId="40" applyNumberFormat="1" applyFont="1" applyFill="1" applyBorder="1" applyAlignment="1">
      <alignment horizontal="center"/>
    </xf>
    <xf numFmtId="167" fontId="15" fillId="2" borderId="8" xfId="40" applyNumberFormat="1" applyFont="1" applyFill="1" applyBorder="1" applyAlignment="1">
      <alignment horizontal="center"/>
    </xf>
    <xf numFmtId="167" fontId="15" fillId="6" borderId="2" xfId="40" applyNumberFormat="1" applyFont="1" applyFill="1" applyBorder="1"/>
    <xf numFmtId="167" fontId="7" fillId="6" borderId="2" xfId="40" applyNumberFormat="1" applyFont="1" applyFill="1" applyBorder="1"/>
    <xf numFmtId="167" fontId="7" fillId="6" borderId="2" xfId="40" applyNumberFormat="1" applyFont="1" applyFill="1" applyBorder="1" applyAlignment="1">
      <alignment horizontal="left"/>
    </xf>
    <xf numFmtId="167" fontId="7" fillId="6" borderId="8" xfId="40" applyNumberFormat="1" applyFont="1" applyFill="1" applyBorder="1"/>
    <xf numFmtId="167" fontId="0" fillId="0" borderId="0" xfId="40" applyNumberFormat="1" applyFont="1" applyAlignment="1">
      <alignment horizontal="left"/>
    </xf>
    <xf numFmtId="167" fontId="32" fillId="2" borderId="4" xfId="40" applyNumberFormat="1" applyFont="1" applyFill="1" applyBorder="1" applyAlignment="1">
      <alignment horizontal="left" indent="1"/>
    </xf>
    <xf numFmtId="167" fontId="7" fillId="2" borderId="0" xfId="40" applyNumberFormat="1" applyFont="1" applyFill="1" applyBorder="1"/>
    <xf numFmtId="1" fontId="37" fillId="4" borderId="8" xfId="1356" applyNumberFormat="1" applyFont="1" applyFill="1" applyBorder="1" applyAlignment="1">
      <alignment horizontal="left"/>
    </xf>
    <xf numFmtId="0" fontId="15" fillId="2" borderId="2" xfId="1356" applyFont="1" applyFill="1" applyBorder="1" applyAlignment="1">
      <alignment horizontal="center"/>
    </xf>
    <xf numFmtId="0" fontId="7" fillId="0" borderId="0" xfId="114"/>
    <xf numFmtId="168" fontId="0" fillId="0" borderId="0" xfId="40" applyNumberFormat="1" applyFont="1" applyAlignment="1">
      <alignment horizontal="center"/>
    </xf>
    <xf numFmtId="164" fontId="0" fillId="0" borderId="0" xfId="40" applyFont="1" applyAlignment="1">
      <alignment horizontal="center" vertical="center"/>
    </xf>
    <xf numFmtId="167" fontId="14" fillId="2" borderId="7" xfId="40" applyNumberFormat="1" applyFont="1" applyFill="1" applyBorder="1" applyAlignment="1">
      <alignment horizontal="center" vertical="center"/>
    </xf>
    <xf numFmtId="167" fontId="7" fillId="38" borderId="0" xfId="40" applyNumberFormat="1" applyFont="1" applyFill="1" applyBorder="1"/>
    <xf numFmtId="167" fontId="32" fillId="38" borderId="4" xfId="40" applyNumberFormat="1" applyFont="1" applyFill="1" applyBorder="1" applyAlignment="1">
      <alignment horizontal="left" indent="1"/>
    </xf>
    <xf numFmtId="167" fontId="7" fillId="38" borderId="4" xfId="40" applyNumberFormat="1" applyFont="1" applyFill="1" applyBorder="1"/>
    <xf numFmtId="167" fontId="7" fillId="38" borderId="5" xfId="40" applyNumberFormat="1" applyFont="1" applyFill="1" applyBorder="1"/>
    <xf numFmtId="167" fontId="7" fillId="38" borderId="1" xfId="40" applyNumberFormat="1" applyFont="1" applyFill="1" applyBorder="1"/>
    <xf numFmtId="167" fontId="7" fillId="38" borderId="2" xfId="40" applyNumberFormat="1" applyFont="1" applyFill="1" applyBorder="1"/>
    <xf numFmtId="167" fontId="7" fillId="38" borderId="6" xfId="40" applyNumberFormat="1" applyFont="1" applyFill="1" applyBorder="1"/>
    <xf numFmtId="167" fontId="7" fillId="38" borderId="7" xfId="40" applyNumberFormat="1" applyFont="1" applyFill="1" applyBorder="1"/>
    <xf numFmtId="167" fontId="7" fillId="38" borderId="8" xfId="40" applyNumberFormat="1" applyFont="1" applyFill="1" applyBorder="1"/>
    <xf numFmtId="167" fontId="26" fillId="38" borderId="1" xfId="40" applyNumberFormat="1" applyFont="1" applyFill="1" applyBorder="1"/>
    <xf numFmtId="167" fontId="26" fillId="38" borderId="0" xfId="40" applyNumberFormat="1" applyFont="1" applyFill="1" applyBorder="1"/>
    <xf numFmtId="167" fontId="32" fillId="38" borderId="3" xfId="40" applyNumberFormat="1" applyFont="1" applyFill="1" applyBorder="1" applyAlignment="1">
      <alignment horizontal="left" indent="1"/>
    </xf>
    <xf numFmtId="167" fontId="26" fillId="38" borderId="4" xfId="40" applyNumberFormat="1" applyFont="1" applyFill="1" applyBorder="1" applyAlignment="1">
      <alignment horizontal="right"/>
    </xf>
    <xf numFmtId="167" fontId="26" fillId="38" borderId="5" xfId="40" applyNumberFormat="1" applyFont="1" applyFill="1" applyBorder="1"/>
    <xf numFmtId="167" fontId="26" fillId="38" borderId="0" xfId="40" applyNumberFormat="1" applyFont="1" applyFill="1" applyBorder="1" applyAlignment="1">
      <alignment horizontal="right"/>
    </xf>
    <xf numFmtId="167" fontId="14" fillId="38" borderId="7" xfId="40" applyNumberFormat="1" applyFont="1" applyFill="1" applyBorder="1"/>
    <xf numFmtId="167" fontId="14" fillId="38" borderId="0" xfId="40" applyNumberFormat="1" applyFont="1" applyFill="1" applyBorder="1"/>
    <xf numFmtId="0" fontId="7" fillId="0" borderId="0" xfId="0" applyFont="1" applyAlignment="1">
      <alignment horizontal="center"/>
    </xf>
    <xf numFmtId="0" fontId="7" fillId="2" borderId="0" xfId="114" applyFill="1" applyAlignment="1">
      <alignment horizontal="left"/>
    </xf>
    <xf numFmtId="0" fontId="35" fillId="2" borderId="0" xfId="114" applyFont="1" applyFill="1" applyAlignment="1">
      <alignment horizontal="right"/>
    </xf>
    <xf numFmtId="167" fontId="14" fillId="38" borderId="6" xfId="40" applyNumberFormat="1" applyFont="1" applyFill="1" applyBorder="1"/>
    <xf numFmtId="0" fontId="37" fillId="0" borderId="0" xfId="0" applyFont="1"/>
    <xf numFmtId="0" fontId="37" fillId="3" borderId="0" xfId="0" applyFont="1" applyFill="1"/>
    <xf numFmtId="0" fontId="36" fillId="3" borderId="0" xfId="0" applyFont="1" applyFill="1" applyAlignment="1">
      <alignment horizontal="center"/>
    </xf>
    <xf numFmtId="0" fontId="37" fillId="39" borderId="0" xfId="0" applyFont="1" applyFill="1"/>
    <xf numFmtId="0" fontId="66" fillId="40" borderId="0" xfId="0" applyFont="1" applyFill="1" applyAlignment="1">
      <alignment vertical="top" wrapText="1"/>
    </xf>
    <xf numFmtId="0" fontId="38" fillId="40" borderId="0" xfId="0" applyFont="1" applyFill="1" applyAlignment="1">
      <alignment horizontal="center"/>
    </xf>
    <xf numFmtId="0" fontId="38" fillId="3" borderId="0" xfId="0" applyFont="1" applyFill="1" applyAlignment="1">
      <alignment horizontal="center"/>
    </xf>
    <xf numFmtId="0" fontId="38" fillId="39" borderId="0" xfId="0" applyFont="1" applyFill="1" applyAlignment="1">
      <alignment horizontal="center"/>
    </xf>
    <xf numFmtId="0" fontId="38" fillId="3" borderId="0" xfId="1356" applyFont="1" applyFill="1" applyAlignment="1">
      <alignment horizontal="center"/>
    </xf>
    <xf numFmtId="0" fontId="38" fillId="39" borderId="0" xfId="1356" applyFont="1" applyFill="1" applyAlignment="1">
      <alignment horizontal="center"/>
    </xf>
    <xf numFmtId="0" fontId="38" fillId="40" borderId="0" xfId="1356" applyFont="1" applyFill="1" applyAlignment="1">
      <alignment horizontal="center"/>
    </xf>
    <xf numFmtId="166" fontId="38" fillId="39" borderId="0" xfId="1356" applyNumberFormat="1" applyFont="1" applyFill="1" applyAlignment="1">
      <alignment horizontal="center"/>
    </xf>
    <xf numFmtId="165" fontId="38" fillId="39" borderId="0" xfId="1356" applyNumberFormat="1" applyFont="1" applyFill="1" applyAlignment="1">
      <alignment horizontal="center"/>
    </xf>
    <xf numFmtId="0" fontId="38" fillId="0" borderId="0" xfId="0" applyFont="1" applyAlignment="1">
      <alignment horizontal="center"/>
    </xf>
    <xf numFmtId="166" fontId="38" fillId="3" borderId="0" xfId="1356" applyNumberFormat="1" applyFont="1" applyFill="1" applyAlignment="1">
      <alignment horizontal="center"/>
    </xf>
    <xf numFmtId="0" fontId="37" fillId="4" borderId="0" xfId="0" applyFont="1" applyFill="1"/>
    <xf numFmtId="0" fontId="38" fillId="4" borderId="0" xfId="0" applyFont="1" applyFill="1" applyAlignment="1">
      <alignment horizontal="center"/>
    </xf>
    <xf numFmtId="0" fontId="37" fillId="4" borderId="0" xfId="0" applyFont="1" applyFill="1" applyAlignment="1">
      <alignment vertical="center"/>
    </xf>
    <xf numFmtId="0" fontId="38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 vertical="center"/>
    </xf>
    <xf numFmtId="0" fontId="20" fillId="0" borderId="0" xfId="266" applyFont="1" applyAlignment="1">
      <alignment horizontal="right"/>
    </xf>
    <xf numFmtId="0" fontId="38" fillId="0" borderId="0" xfId="266" applyFont="1" applyAlignment="1">
      <alignment horizontal="left"/>
    </xf>
    <xf numFmtId="0" fontId="33" fillId="0" borderId="0" xfId="266" applyFont="1" applyAlignment="1">
      <alignment horizontal="left"/>
    </xf>
    <xf numFmtId="0" fontId="17" fillId="0" borderId="0" xfId="266" applyFont="1" applyAlignment="1">
      <alignment horizontal="right"/>
    </xf>
    <xf numFmtId="0" fontId="7" fillId="0" borderId="0" xfId="266" applyAlignment="1">
      <alignment horizontal="left"/>
    </xf>
    <xf numFmtId="0" fontId="26" fillId="0" borderId="0" xfId="266" applyFont="1" applyAlignment="1">
      <alignment horizontal="center" vertical="center" wrapText="1"/>
    </xf>
    <xf numFmtId="0" fontId="21" fillId="0" borderId="0" xfId="266" applyFont="1" applyAlignment="1">
      <alignment horizontal="center" vertical="center" wrapText="1"/>
    </xf>
    <xf numFmtId="0" fontId="7" fillId="0" borderId="0" xfId="266"/>
    <xf numFmtId="164" fontId="21" fillId="0" borderId="0" xfId="40" applyFont="1" applyAlignment="1">
      <alignment horizontal="center" vertical="center" wrapText="1"/>
    </xf>
    <xf numFmtId="0" fontId="0" fillId="4" borderId="1" xfId="0" applyFill="1" applyBorder="1"/>
    <xf numFmtId="0" fontId="7" fillId="4" borderId="0" xfId="0" applyFont="1" applyFill="1" applyAlignment="1">
      <alignment horizontal="left"/>
    </xf>
    <xf numFmtId="0" fontId="17" fillId="4" borderId="0" xfId="1356" applyFont="1" applyFill="1"/>
    <xf numFmtId="0" fontId="36" fillId="4" borderId="0" xfId="1356" applyFont="1" applyFill="1" applyAlignment="1">
      <alignment vertical="top"/>
    </xf>
    <xf numFmtId="0" fontId="36" fillId="4" borderId="0" xfId="1356" applyFont="1" applyFill="1" applyAlignment="1">
      <alignment vertical="center"/>
    </xf>
    <xf numFmtId="0" fontId="26" fillId="4" borderId="1" xfId="0" applyFont="1" applyFill="1" applyBorder="1"/>
    <xf numFmtId="0" fontId="15" fillId="4" borderId="0" xfId="0" applyFont="1" applyFill="1" applyAlignment="1">
      <alignment vertical="center"/>
    </xf>
    <xf numFmtId="0" fontId="15" fillId="4" borderId="0" xfId="0" applyFont="1" applyFill="1"/>
    <xf numFmtId="0" fontId="36" fillId="4" borderId="0" xfId="1356" applyFont="1" applyFill="1"/>
    <xf numFmtId="164" fontId="0" fillId="4" borderId="0" xfId="0" applyNumberFormat="1" applyFill="1" applyAlignment="1">
      <alignment horizontal="left"/>
    </xf>
    <xf numFmtId="168" fontId="0" fillId="4" borderId="0" xfId="0" applyNumberFormat="1" applyFill="1" applyAlignment="1">
      <alignment horizontal="left"/>
    </xf>
    <xf numFmtId="0" fontId="0" fillId="6" borderId="0" xfId="0" applyFill="1"/>
    <xf numFmtId="0" fontId="26" fillId="6" borderId="0" xfId="1356" applyFont="1" applyFill="1" applyAlignment="1">
      <alignment horizontal="center"/>
    </xf>
    <xf numFmtId="167" fontId="0" fillId="6" borderId="2" xfId="40" applyNumberFormat="1" applyFont="1" applyFill="1" applyBorder="1"/>
    <xf numFmtId="0" fontId="7" fillId="0" borderId="0" xfId="0" applyFont="1" applyAlignment="1">
      <alignment horizontal="left"/>
    </xf>
    <xf numFmtId="167" fontId="26" fillId="0" borderId="0" xfId="40" applyNumberFormat="1" applyFont="1" applyAlignment="1">
      <alignment horizontal="center" vertical="center" wrapText="1"/>
    </xf>
    <xf numFmtId="165" fontId="38" fillId="40" borderId="0" xfId="1356" applyNumberFormat="1" applyFont="1" applyFill="1" applyAlignment="1">
      <alignment horizontal="center"/>
    </xf>
    <xf numFmtId="166" fontId="38" fillId="40" borderId="0" xfId="1356" applyNumberFormat="1" applyFont="1" applyFill="1" applyAlignment="1">
      <alignment horizontal="center"/>
    </xf>
    <xf numFmtId="168" fontId="0" fillId="0" borderId="0" xfId="40" applyNumberFormat="1" applyFont="1"/>
    <xf numFmtId="171" fontId="38" fillId="40" borderId="0" xfId="0" applyNumberFormat="1" applyFont="1" applyFill="1" applyAlignment="1">
      <alignment horizontal="center"/>
    </xf>
    <xf numFmtId="0" fontId="37" fillId="40" borderId="0" xfId="0" applyFont="1" applyFill="1"/>
    <xf numFmtId="0" fontId="26" fillId="38" borderId="1" xfId="0" applyFont="1" applyFill="1" applyBorder="1"/>
    <xf numFmtId="168" fontId="26" fillId="0" borderId="0" xfId="266" applyNumberFormat="1" applyFont="1" applyAlignment="1">
      <alignment horizontal="center" vertical="center" wrapText="1"/>
    </xf>
    <xf numFmtId="168" fontId="7" fillId="0" borderId="0" xfId="266" applyNumberFormat="1" applyAlignment="1">
      <alignment horizontal="center"/>
    </xf>
    <xf numFmtId="168" fontId="7" fillId="0" borderId="0" xfId="40" applyNumberFormat="1" applyAlignment="1">
      <alignment horizontal="center"/>
    </xf>
    <xf numFmtId="168" fontId="17" fillId="0" borderId="0" xfId="266" applyNumberFormat="1" applyFont="1" applyAlignment="1">
      <alignment horizontal="right"/>
    </xf>
    <xf numFmtId="168" fontId="7" fillId="0" borderId="0" xfId="40" applyNumberFormat="1" applyAlignment="1">
      <alignment horizontal="center" vertical="center" wrapText="1"/>
    </xf>
    <xf numFmtId="167" fontId="7" fillId="0" borderId="0" xfId="40" applyNumberFormat="1"/>
    <xf numFmtId="0" fontId="7" fillId="0" borderId="0" xfId="114" applyAlignment="1">
      <alignment horizontal="center"/>
    </xf>
    <xf numFmtId="164" fontId="7" fillId="0" borderId="0" xfId="40" applyFont="1" applyAlignment="1">
      <alignment horizontal="center"/>
    </xf>
    <xf numFmtId="169" fontId="26" fillId="38" borderId="9" xfId="40" applyNumberFormat="1" applyFont="1" applyFill="1" applyBorder="1"/>
    <xf numFmtId="0" fontId="7" fillId="38" borderId="1" xfId="0" applyFont="1" applyFill="1" applyBorder="1"/>
    <xf numFmtId="0" fontId="7" fillId="38" borderId="6" xfId="0" applyFont="1" applyFill="1" applyBorder="1"/>
    <xf numFmtId="170" fontId="7" fillId="38" borderId="2" xfId="40" applyNumberFormat="1" applyFont="1" applyFill="1" applyBorder="1"/>
    <xf numFmtId="170" fontId="7" fillId="38" borderId="8" xfId="40" applyNumberFormat="1" applyFont="1" applyFill="1" applyBorder="1"/>
    <xf numFmtId="170" fontId="7" fillId="0" borderId="0" xfId="40" applyNumberFormat="1" applyFont="1" applyAlignment="1">
      <alignment horizontal="center"/>
    </xf>
    <xf numFmtId="170" fontId="48" fillId="0" borderId="0" xfId="40" applyNumberFormat="1" applyFont="1" applyFill="1"/>
    <xf numFmtId="170" fontId="0" fillId="0" borderId="0" xfId="40" applyNumberFormat="1" applyFont="1"/>
    <xf numFmtId="170" fontId="0" fillId="0" borderId="0" xfId="40" applyNumberFormat="1" applyFont="1" applyAlignment="1">
      <alignment horizontal="center"/>
    </xf>
    <xf numFmtId="167" fontId="48" fillId="0" borderId="0" xfId="40" applyNumberFormat="1" applyFont="1" applyFill="1"/>
    <xf numFmtId="0" fontId="48" fillId="0" borderId="0" xfId="848"/>
    <xf numFmtId="0" fontId="67" fillId="0" borderId="0" xfId="848" applyFont="1" applyAlignment="1">
      <alignment horizontal="center" vertical="center" wrapText="1"/>
    </xf>
    <xf numFmtId="167" fontId="48" fillId="0" borderId="0" xfId="40" applyNumberFormat="1" applyFont="1"/>
    <xf numFmtId="169" fontId="48" fillId="0" borderId="0" xfId="40" applyNumberFormat="1" applyFont="1" applyFill="1"/>
    <xf numFmtId="169" fontId="26" fillId="38" borderId="2" xfId="40" applyNumberFormat="1" applyFont="1" applyFill="1" applyBorder="1"/>
    <xf numFmtId="167" fontId="48" fillId="0" borderId="0" xfId="848" applyNumberFormat="1"/>
    <xf numFmtId="164" fontId="48" fillId="0" borderId="0" xfId="40" applyFont="1" applyFill="1"/>
    <xf numFmtId="164" fontId="7" fillId="0" borderId="0" xfId="40" applyFont="1" applyAlignment="1">
      <alignment horizontal="center" vertical="center"/>
    </xf>
    <xf numFmtId="0" fontId="66" fillId="41" borderId="0" xfId="0" applyFont="1" applyFill="1" applyAlignment="1">
      <alignment vertical="top" wrapText="1"/>
    </xf>
    <xf numFmtId="0" fontId="38" fillId="41" borderId="0" xfId="0" applyFont="1" applyFill="1" applyAlignment="1">
      <alignment horizontal="center"/>
    </xf>
    <xf numFmtId="0" fontId="38" fillId="41" borderId="0" xfId="1356" applyFont="1" applyFill="1" applyAlignment="1">
      <alignment horizontal="center"/>
    </xf>
    <xf numFmtId="167" fontId="0" fillId="4" borderId="0" xfId="0" applyNumberFormat="1" applyFill="1" applyAlignment="1">
      <alignment horizontal="left"/>
    </xf>
    <xf numFmtId="172" fontId="48" fillId="4" borderId="2" xfId="271" applyNumberFormat="1" applyFill="1" applyBorder="1" applyAlignment="1">
      <alignment horizontal="center"/>
    </xf>
    <xf numFmtId="0" fontId="48" fillId="4" borderId="2" xfId="271" applyFill="1" applyBorder="1" applyAlignment="1">
      <alignment horizontal="center"/>
    </xf>
    <xf numFmtId="169" fontId="48" fillId="4" borderId="2" xfId="271" applyNumberFormat="1" applyFill="1" applyBorder="1" applyAlignment="1">
      <alignment horizontal="center"/>
    </xf>
    <xf numFmtId="0" fontId="7" fillId="4" borderId="2" xfId="271" applyFont="1" applyFill="1" applyBorder="1" applyAlignment="1">
      <alignment horizontal="center"/>
    </xf>
    <xf numFmtId="0" fontId="17" fillId="0" borderId="0" xfId="0" applyFont="1" applyAlignment="1">
      <alignment horizontal="right"/>
    </xf>
    <xf numFmtId="0" fontId="64" fillId="0" borderId="0" xfId="0" applyFont="1"/>
    <xf numFmtId="0" fontId="21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26" fillId="0" borderId="0" xfId="273" applyFont="1" applyAlignment="1">
      <alignment horizontal="center"/>
    </xf>
    <xf numFmtId="0" fontId="7" fillId="0" borderId="0" xfId="273" applyAlignment="1">
      <alignment horizontal="center"/>
    </xf>
    <xf numFmtId="0" fontId="64" fillId="42" borderId="21" xfId="0" applyFont="1" applyFill="1" applyBorder="1"/>
    <xf numFmtId="0" fontId="0" fillId="0" borderId="0" xfId="0" applyAlignment="1">
      <alignment horizontal="center" vertical="center" wrapText="1"/>
    </xf>
    <xf numFmtId="0" fontId="64" fillId="0" borderId="21" xfId="0" applyFont="1" applyBorder="1"/>
    <xf numFmtId="164" fontId="26" fillId="41" borderId="9" xfId="40" applyFont="1" applyFill="1" applyBorder="1"/>
    <xf numFmtId="0" fontId="26" fillId="0" borderId="0" xfId="1356" applyFont="1" applyAlignment="1">
      <alignment horizontal="center" vertical="center" wrapText="1"/>
    </xf>
    <xf numFmtId="169" fontId="66" fillId="40" borderId="0" xfId="40" applyNumberFormat="1" applyFont="1" applyFill="1" applyAlignment="1">
      <alignment vertical="top" wrapText="1"/>
    </xf>
    <xf numFmtId="169" fontId="38" fillId="40" borderId="0" xfId="40" applyNumberFormat="1" applyFont="1" applyFill="1" applyBorder="1" applyAlignment="1">
      <alignment horizontal="center"/>
    </xf>
    <xf numFmtId="170" fontId="38" fillId="40" borderId="0" xfId="40" applyNumberFormat="1" applyFont="1" applyFill="1" applyBorder="1" applyAlignment="1">
      <alignment horizontal="center"/>
    </xf>
    <xf numFmtId="0" fontId="2" fillId="4" borderId="2" xfId="271" applyFont="1" applyFill="1" applyBorder="1" applyAlignment="1">
      <alignment horizontal="center"/>
    </xf>
    <xf numFmtId="0" fontId="37" fillId="43" borderId="0" xfId="0" applyFont="1" applyFill="1" applyAlignment="1">
      <alignment horizontal="center"/>
    </xf>
    <xf numFmtId="166" fontId="37" fillId="43" borderId="0" xfId="0" applyNumberFormat="1" applyFont="1" applyFill="1" applyAlignment="1">
      <alignment horizontal="center"/>
    </xf>
    <xf numFmtId="0" fontId="37" fillId="40" borderId="0" xfId="0" applyFont="1" applyFill="1" applyAlignment="1">
      <alignment horizontal="center"/>
    </xf>
    <xf numFmtId="0" fontId="38" fillId="44" borderId="0" xfId="1356" applyFont="1" applyFill="1" applyAlignment="1">
      <alignment horizontal="center"/>
    </xf>
    <xf numFmtId="0" fontId="1" fillId="4" borderId="2" xfId="271" applyFont="1" applyFill="1" applyBorder="1" applyAlignment="1">
      <alignment horizontal="center"/>
    </xf>
    <xf numFmtId="0" fontId="38" fillId="44" borderId="0" xfId="0" applyFont="1" applyFill="1" applyAlignment="1">
      <alignment horizontal="center"/>
    </xf>
    <xf numFmtId="0" fontId="26" fillId="38" borderId="3" xfId="0" applyFont="1" applyFill="1" applyBorder="1" applyAlignment="1">
      <alignment horizontal="center"/>
    </xf>
    <xf numFmtId="0" fontId="26" fillId="38" borderId="4" xfId="0" applyFont="1" applyFill="1" applyBorder="1"/>
    <xf numFmtId="0" fontId="26" fillId="38" borderId="5" xfId="0" applyFont="1" applyFill="1" applyBorder="1"/>
    <xf numFmtId="0" fontId="26" fillId="38" borderId="1" xfId="1356" applyFont="1" applyFill="1" applyBorder="1"/>
    <xf numFmtId="0" fontId="26" fillId="38" borderId="0" xfId="1356" applyFont="1" applyFill="1"/>
    <xf numFmtId="0" fontId="26" fillId="38" borderId="2" xfId="1356" applyFont="1" applyFill="1" applyBorder="1"/>
    <xf numFmtId="0" fontId="26" fillId="38" borderId="1" xfId="1356" applyFont="1" applyFill="1" applyBorder="1" applyAlignment="1">
      <alignment vertical="top"/>
    </xf>
    <xf numFmtId="0" fontId="26" fillId="38" borderId="0" xfId="1356" applyFont="1" applyFill="1" applyAlignment="1">
      <alignment vertical="top"/>
    </xf>
    <xf numFmtId="0" fontId="26" fillId="38" borderId="2" xfId="1356" applyFont="1" applyFill="1" applyBorder="1" applyAlignment="1">
      <alignment vertical="top"/>
    </xf>
    <xf numFmtId="0" fontId="26" fillId="38" borderId="1" xfId="1356" applyFont="1" applyFill="1" applyBorder="1" applyAlignment="1">
      <alignment vertical="center"/>
    </xf>
    <xf numFmtId="0" fontId="26" fillId="38" borderId="0" xfId="1356" applyFont="1" applyFill="1" applyAlignment="1">
      <alignment vertical="center"/>
    </xf>
    <xf numFmtId="0" fontId="26" fillId="38" borderId="2" xfId="1356" applyFont="1" applyFill="1" applyBorder="1" applyAlignment="1">
      <alignment vertical="center"/>
    </xf>
    <xf numFmtId="0" fontId="26" fillId="38" borderId="1" xfId="0" applyFont="1" applyFill="1" applyBorder="1" applyAlignment="1">
      <alignment vertical="center"/>
    </xf>
    <xf numFmtId="0" fontId="26" fillId="38" borderId="0" xfId="0" applyFont="1" applyFill="1" applyAlignment="1">
      <alignment vertical="center"/>
    </xf>
    <xf numFmtId="0" fontId="26" fillId="38" borderId="2" xfId="0" applyFont="1" applyFill="1" applyBorder="1" applyAlignment="1">
      <alignment vertical="center"/>
    </xf>
    <xf numFmtId="0" fontId="26" fillId="38" borderId="0" xfId="0" applyFont="1" applyFill="1"/>
    <xf numFmtId="0" fontId="26" fillId="38" borderId="2" xfId="0" applyFont="1" applyFill="1" applyBorder="1"/>
    <xf numFmtId="0" fontId="26" fillId="38" borderId="6" xfId="1356" applyFont="1" applyFill="1" applyBorder="1"/>
    <xf numFmtId="0" fontId="26" fillId="38" borderId="7" xfId="1356" applyFont="1" applyFill="1" applyBorder="1"/>
    <xf numFmtId="0" fontId="26" fillId="38" borderId="8" xfId="1356" applyFont="1" applyFill="1" applyBorder="1"/>
    <xf numFmtId="167" fontId="26" fillId="41" borderId="9" xfId="40" applyNumberFormat="1" applyFont="1" applyFill="1" applyBorder="1"/>
    <xf numFmtId="168" fontId="26" fillId="41" borderId="9" xfId="40" applyNumberFormat="1" applyFont="1" applyFill="1" applyBorder="1"/>
    <xf numFmtId="167" fontId="7" fillId="4" borderId="2" xfId="271" applyNumberFormat="1" applyFont="1" applyFill="1" applyBorder="1" applyAlignment="1">
      <alignment horizontal="center"/>
    </xf>
    <xf numFmtId="0" fontId="0" fillId="41" borderId="0" xfId="0" applyFill="1"/>
    <xf numFmtId="0" fontId="26" fillId="38" borderId="10" xfId="0" applyFont="1" applyFill="1" applyBorder="1" applyAlignment="1">
      <alignment horizontal="center"/>
    </xf>
    <xf numFmtId="0" fontId="26" fillId="38" borderId="11" xfId="0" applyFont="1" applyFill="1" applyBorder="1" applyAlignment="1">
      <alignment horizontal="center"/>
    </xf>
    <xf numFmtId="0" fontId="20" fillId="3" borderId="0" xfId="0" applyFont="1" applyFill="1" applyAlignment="1">
      <alignment horizontal="center" vertical="center" wrapText="1"/>
    </xf>
  </cellXfs>
  <cellStyles count="1372">
    <cellStyle name="20% - Accent1" xfId="1" builtinId="30" customBuiltin="1"/>
    <cellStyle name="20% - Accent1 2" xfId="2" xr:uid="{00000000-0005-0000-0000-000001000000}"/>
    <cellStyle name="20% - Accent2" xfId="3" builtinId="34" customBuiltin="1"/>
    <cellStyle name="20% - Accent2 2" xfId="4" xr:uid="{00000000-0005-0000-0000-000003000000}"/>
    <cellStyle name="20% - Accent3" xfId="5" builtinId="38" customBuiltin="1"/>
    <cellStyle name="20% - Accent3 2" xfId="6" xr:uid="{00000000-0005-0000-0000-000005000000}"/>
    <cellStyle name="20% - Accent4" xfId="7" builtinId="42" customBuiltin="1"/>
    <cellStyle name="20% - Accent4 2" xfId="8" xr:uid="{00000000-0005-0000-0000-000007000000}"/>
    <cellStyle name="20% - Accent5" xfId="9" builtinId="46" customBuiltin="1"/>
    <cellStyle name="20% - Accent5 2" xfId="10" xr:uid="{00000000-0005-0000-0000-000009000000}"/>
    <cellStyle name="20% - Accent6" xfId="11" builtinId="50" customBuiltin="1"/>
    <cellStyle name="20% - Accent6 2" xfId="12" xr:uid="{00000000-0005-0000-0000-00000B000000}"/>
    <cellStyle name="40% - Accent1" xfId="13" builtinId="31" customBuiltin="1"/>
    <cellStyle name="40% - Accent1 2" xfId="14" xr:uid="{00000000-0005-0000-0000-00000D000000}"/>
    <cellStyle name="40% - Accent2" xfId="15" builtinId="35" customBuiltin="1"/>
    <cellStyle name="40% - Accent2 2" xfId="16" xr:uid="{00000000-0005-0000-0000-00000F000000}"/>
    <cellStyle name="40% - Accent3" xfId="17" builtinId="39" customBuiltin="1"/>
    <cellStyle name="40% - Accent3 2" xfId="18" xr:uid="{00000000-0005-0000-0000-000011000000}"/>
    <cellStyle name="40% - Accent4" xfId="19" builtinId="43" customBuiltin="1"/>
    <cellStyle name="40% - Accent4 2" xfId="20" xr:uid="{00000000-0005-0000-0000-000013000000}"/>
    <cellStyle name="40% - Accent5" xfId="21" builtinId="47" customBuiltin="1"/>
    <cellStyle name="40% - Accent5 2" xfId="22" xr:uid="{00000000-0005-0000-0000-000015000000}"/>
    <cellStyle name="40% - Accent6" xfId="23" builtinId="51" customBuiltin="1"/>
    <cellStyle name="40% - Accent6 2" xfId="24" xr:uid="{00000000-0005-0000-0000-000017000000}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Accent1" xfId="31" builtinId="29" customBuiltin="1"/>
    <cellStyle name="Accent2" xfId="32" builtinId="33" customBuiltin="1"/>
    <cellStyle name="Accent3" xfId="33" builtinId="37" customBuiltin="1"/>
    <cellStyle name="Accent4" xfId="34" builtinId="41" customBuiltin="1"/>
    <cellStyle name="Accent5" xfId="35" builtinId="45" customBuiltin="1"/>
    <cellStyle name="Accent6" xfId="36" builtinId="49" customBuiltin="1"/>
    <cellStyle name="Bad" xfId="37" builtinId="27" customBuiltin="1"/>
    <cellStyle name="Calculation" xfId="38" builtinId="22" customBuiltin="1"/>
    <cellStyle name="Check Cell" xfId="39" builtinId="23" customBuiltin="1"/>
    <cellStyle name="Comma" xfId="40" builtinId="3"/>
    <cellStyle name="Comma 10" xfId="41" xr:uid="{00000000-0005-0000-0000-000028000000}"/>
    <cellStyle name="Comma 10 2" xfId="42" xr:uid="{00000000-0005-0000-0000-000029000000}"/>
    <cellStyle name="Comma 11" xfId="43" xr:uid="{00000000-0005-0000-0000-00002A000000}"/>
    <cellStyle name="Comma 11 2" xfId="44" xr:uid="{00000000-0005-0000-0000-00002B000000}"/>
    <cellStyle name="Comma 12" xfId="45" xr:uid="{00000000-0005-0000-0000-00002C000000}"/>
    <cellStyle name="Comma 13" xfId="46" xr:uid="{00000000-0005-0000-0000-00002D000000}"/>
    <cellStyle name="Comma 14" xfId="47" xr:uid="{00000000-0005-0000-0000-00002E000000}"/>
    <cellStyle name="Comma 15" xfId="48" xr:uid="{00000000-0005-0000-0000-00002F000000}"/>
    <cellStyle name="Comma 16" xfId="49" xr:uid="{00000000-0005-0000-0000-000030000000}"/>
    <cellStyle name="Comma 17" xfId="50" xr:uid="{00000000-0005-0000-0000-000031000000}"/>
    <cellStyle name="Comma 18" xfId="1364" xr:uid="{00000000-0005-0000-0000-000032000000}"/>
    <cellStyle name="Comma 2" xfId="51" xr:uid="{00000000-0005-0000-0000-000033000000}"/>
    <cellStyle name="Comma 2 2" xfId="52" xr:uid="{00000000-0005-0000-0000-000034000000}"/>
    <cellStyle name="Comma 2 3" xfId="53" xr:uid="{00000000-0005-0000-0000-000035000000}"/>
    <cellStyle name="Comma 2 3 2" xfId="54" xr:uid="{00000000-0005-0000-0000-000036000000}"/>
    <cellStyle name="Comma 2 3 2 2" xfId="55" xr:uid="{00000000-0005-0000-0000-000037000000}"/>
    <cellStyle name="Comma 2 3 3" xfId="56" xr:uid="{00000000-0005-0000-0000-000038000000}"/>
    <cellStyle name="Comma 2 4" xfId="57" xr:uid="{00000000-0005-0000-0000-000039000000}"/>
    <cellStyle name="Comma 2 4 2" xfId="58" xr:uid="{00000000-0005-0000-0000-00003A000000}"/>
    <cellStyle name="Comma 2 4 2 2" xfId="59" xr:uid="{00000000-0005-0000-0000-00003B000000}"/>
    <cellStyle name="Comma 2 4 3" xfId="60" xr:uid="{00000000-0005-0000-0000-00003C000000}"/>
    <cellStyle name="Comma 2 5" xfId="61" xr:uid="{00000000-0005-0000-0000-00003D000000}"/>
    <cellStyle name="Comma 2 5 2" xfId="62" xr:uid="{00000000-0005-0000-0000-00003E000000}"/>
    <cellStyle name="Comma 2 5 2 2" xfId="63" xr:uid="{00000000-0005-0000-0000-00003F000000}"/>
    <cellStyle name="Comma 2 5 3" xfId="64" xr:uid="{00000000-0005-0000-0000-000040000000}"/>
    <cellStyle name="Comma 2 6" xfId="65" xr:uid="{00000000-0005-0000-0000-000041000000}"/>
    <cellStyle name="Comma 2 6 2" xfId="66" xr:uid="{00000000-0005-0000-0000-000042000000}"/>
    <cellStyle name="Comma 2 7" xfId="67" xr:uid="{00000000-0005-0000-0000-000043000000}"/>
    <cellStyle name="Comma 3" xfId="68" xr:uid="{00000000-0005-0000-0000-000044000000}"/>
    <cellStyle name="Comma 4" xfId="69" xr:uid="{00000000-0005-0000-0000-000045000000}"/>
    <cellStyle name="Comma 4 2" xfId="70" xr:uid="{00000000-0005-0000-0000-000046000000}"/>
    <cellStyle name="Comma 4 2 2" xfId="71" xr:uid="{00000000-0005-0000-0000-000047000000}"/>
    <cellStyle name="Comma 4 2 2 2" xfId="72" xr:uid="{00000000-0005-0000-0000-000048000000}"/>
    <cellStyle name="Comma 4 2 3" xfId="73" xr:uid="{00000000-0005-0000-0000-000049000000}"/>
    <cellStyle name="Comma 4 3" xfId="74" xr:uid="{00000000-0005-0000-0000-00004A000000}"/>
    <cellStyle name="Comma 4 3 2" xfId="75" xr:uid="{00000000-0005-0000-0000-00004B000000}"/>
    <cellStyle name="Comma 4 4" xfId="76" xr:uid="{00000000-0005-0000-0000-00004C000000}"/>
    <cellStyle name="Comma 5" xfId="77" xr:uid="{00000000-0005-0000-0000-00004D000000}"/>
    <cellStyle name="Comma 5 2" xfId="78" xr:uid="{00000000-0005-0000-0000-00004E000000}"/>
    <cellStyle name="Comma 5 2 2" xfId="79" xr:uid="{00000000-0005-0000-0000-00004F000000}"/>
    <cellStyle name="Comma 5 2 2 2" xfId="80" xr:uid="{00000000-0005-0000-0000-000050000000}"/>
    <cellStyle name="Comma 5 2 3" xfId="81" xr:uid="{00000000-0005-0000-0000-000051000000}"/>
    <cellStyle name="Comma 5 3" xfId="82" xr:uid="{00000000-0005-0000-0000-000052000000}"/>
    <cellStyle name="Comma 5 3 2" xfId="83" xr:uid="{00000000-0005-0000-0000-000053000000}"/>
    <cellStyle name="Comma 5 4" xfId="84" xr:uid="{00000000-0005-0000-0000-000054000000}"/>
    <cellStyle name="Comma 6" xfId="85" xr:uid="{00000000-0005-0000-0000-000055000000}"/>
    <cellStyle name="Comma 6 2" xfId="86" xr:uid="{00000000-0005-0000-0000-000056000000}"/>
    <cellStyle name="Comma 6 2 2" xfId="87" xr:uid="{00000000-0005-0000-0000-000057000000}"/>
    <cellStyle name="Comma 6 2 2 2" xfId="88" xr:uid="{00000000-0005-0000-0000-000058000000}"/>
    <cellStyle name="Comma 6 2 3" xfId="89" xr:uid="{00000000-0005-0000-0000-000059000000}"/>
    <cellStyle name="Comma 6 3" xfId="90" xr:uid="{00000000-0005-0000-0000-00005A000000}"/>
    <cellStyle name="Comma 6 3 2" xfId="91" xr:uid="{00000000-0005-0000-0000-00005B000000}"/>
    <cellStyle name="Comma 6 4" xfId="92" xr:uid="{00000000-0005-0000-0000-00005C000000}"/>
    <cellStyle name="Comma 7" xfId="93" xr:uid="{00000000-0005-0000-0000-00005D000000}"/>
    <cellStyle name="Comma 7 2" xfId="94" xr:uid="{00000000-0005-0000-0000-00005E000000}"/>
    <cellStyle name="Comma 7 2 2" xfId="95" xr:uid="{00000000-0005-0000-0000-00005F000000}"/>
    <cellStyle name="Comma 7 3" xfId="96" xr:uid="{00000000-0005-0000-0000-000060000000}"/>
    <cellStyle name="Comma 8" xfId="97" xr:uid="{00000000-0005-0000-0000-000061000000}"/>
    <cellStyle name="Comma 8 2" xfId="98" xr:uid="{00000000-0005-0000-0000-000062000000}"/>
    <cellStyle name="Comma 8 2 2" xfId="99" xr:uid="{00000000-0005-0000-0000-000063000000}"/>
    <cellStyle name="Comma 8 3" xfId="100" xr:uid="{00000000-0005-0000-0000-000064000000}"/>
    <cellStyle name="Comma 9" xfId="101" xr:uid="{00000000-0005-0000-0000-000065000000}"/>
    <cellStyle name="Comma 9 2" xfId="102" xr:uid="{00000000-0005-0000-0000-000066000000}"/>
    <cellStyle name="Comma 9 2 2" xfId="103" xr:uid="{00000000-0005-0000-0000-000067000000}"/>
    <cellStyle name="Comma 9 3" xfId="104" xr:uid="{00000000-0005-0000-0000-000068000000}"/>
    <cellStyle name="Explanatory Text" xfId="105" builtinId="53" customBuiltin="1"/>
    <cellStyle name="Good" xfId="106" builtinId="26" customBuiltin="1"/>
    <cellStyle name="Heading 1" xfId="107" builtinId="16" customBuiltin="1"/>
    <cellStyle name="Heading 2" xfId="108" builtinId="17" customBuiltin="1"/>
    <cellStyle name="Heading 3" xfId="109" builtinId="18" customBuiltin="1"/>
    <cellStyle name="Heading 4" xfId="110" builtinId="19" customBuiltin="1"/>
    <cellStyle name="Input" xfId="111" builtinId="20" customBuiltin="1"/>
    <cellStyle name="Linked Cell" xfId="112" builtinId="24" customBuiltin="1"/>
    <cellStyle name="Neutral" xfId="113" builtinId="28" customBuiltin="1"/>
    <cellStyle name="Normal" xfId="0" builtinId="0"/>
    <cellStyle name="Normal 10" xfId="114" xr:uid="{00000000-0005-0000-0000-000073000000}"/>
    <cellStyle name="Normal 10 2" xfId="115" xr:uid="{00000000-0005-0000-0000-000074000000}"/>
    <cellStyle name="Normal 10 2 2" xfId="116" xr:uid="{00000000-0005-0000-0000-000075000000}"/>
    <cellStyle name="Normal 10 2 2 2" xfId="117" xr:uid="{00000000-0005-0000-0000-000076000000}"/>
    <cellStyle name="Normal 10 2 3" xfId="118" xr:uid="{00000000-0005-0000-0000-000077000000}"/>
    <cellStyle name="Normal 10 3" xfId="119" xr:uid="{00000000-0005-0000-0000-000078000000}"/>
    <cellStyle name="Normal 10 3 2" xfId="120" xr:uid="{00000000-0005-0000-0000-000079000000}"/>
    <cellStyle name="Normal 10 3 2 2" xfId="121" xr:uid="{00000000-0005-0000-0000-00007A000000}"/>
    <cellStyle name="Normal 10 3 3" xfId="122" xr:uid="{00000000-0005-0000-0000-00007B000000}"/>
    <cellStyle name="Normal 10 4" xfId="123" xr:uid="{00000000-0005-0000-0000-00007C000000}"/>
    <cellStyle name="Normal 10 4 2" xfId="124" xr:uid="{00000000-0005-0000-0000-00007D000000}"/>
    <cellStyle name="Normal 10 5" xfId="125" xr:uid="{00000000-0005-0000-0000-00007E000000}"/>
    <cellStyle name="Normal 100" xfId="126" xr:uid="{00000000-0005-0000-0000-00007F000000}"/>
    <cellStyle name="Normal 100 2" xfId="127" xr:uid="{00000000-0005-0000-0000-000080000000}"/>
    <cellStyle name="Normal 101" xfId="128" xr:uid="{00000000-0005-0000-0000-000081000000}"/>
    <cellStyle name="Normal 101 2" xfId="129" xr:uid="{00000000-0005-0000-0000-000082000000}"/>
    <cellStyle name="Normal 101 2 2" xfId="130" xr:uid="{00000000-0005-0000-0000-000083000000}"/>
    <cellStyle name="Normal 102" xfId="131" xr:uid="{00000000-0005-0000-0000-000084000000}"/>
    <cellStyle name="Normal 102 2" xfId="132" xr:uid="{00000000-0005-0000-0000-000085000000}"/>
    <cellStyle name="Normal 103" xfId="133" xr:uid="{00000000-0005-0000-0000-000086000000}"/>
    <cellStyle name="Normal 103 2" xfId="134" xr:uid="{00000000-0005-0000-0000-000087000000}"/>
    <cellStyle name="Normal 103 3" xfId="135" xr:uid="{00000000-0005-0000-0000-000088000000}"/>
    <cellStyle name="Normal 103 3 2" xfId="136" xr:uid="{00000000-0005-0000-0000-000089000000}"/>
    <cellStyle name="Normal 104" xfId="137" xr:uid="{00000000-0005-0000-0000-00008A000000}"/>
    <cellStyle name="Normal 105" xfId="138" xr:uid="{00000000-0005-0000-0000-00008B000000}"/>
    <cellStyle name="Normal 105 2" xfId="139" xr:uid="{00000000-0005-0000-0000-00008C000000}"/>
    <cellStyle name="Normal 106" xfId="140" xr:uid="{00000000-0005-0000-0000-00008D000000}"/>
    <cellStyle name="Normal 106 2" xfId="141" xr:uid="{00000000-0005-0000-0000-00008E000000}"/>
    <cellStyle name="Normal 107" xfId="142" xr:uid="{00000000-0005-0000-0000-00008F000000}"/>
    <cellStyle name="Normal 107 2" xfId="143" xr:uid="{00000000-0005-0000-0000-000090000000}"/>
    <cellStyle name="Normal 107 3" xfId="144" xr:uid="{00000000-0005-0000-0000-000091000000}"/>
    <cellStyle name="Normal 108" xfId="145" xr:uid="{00000000-0005-0000-0000-000092000000}"/>
    <cellStyle name="Normal 108 2" xfId="146" xr:uid="{00000000-0005-0000-0000-000093000000}"/>
    <cellStyle name="Normal 108 3" xfId="147" xr:uid="{00000000-0005-0000-0000-000094000000}"/>
    <cellStyle name="Normal 108 3 2" xfId="148" xr:uid="{00000000-0005-0000-0000-000095000000}"/>
    <cellStyle name="Normal 109" xfId="149" xr:uid="{00000000-0005-0000-0000-000096000000}"/>
    <cellStyle name="Normal 109 2" xfId="150" xr:uid="{00000000-0005-0000-0000-000097000000}"/>
    <cellStyle name="Normal 109 3" xfId="151" xr:uid="{00000000-0005-0000-0000-000098000000}"/>
    <cellStyle name="Normal 109 3 2" xfId="152" xr:uid="{00000000-0005-0000-0000-000099000000}"/>
    <cellStyle name="Normal 11" xfId="153" xr:uid="{00000000-0005-0000-0000-00009A000000}"/>
    <cellStyle name="Normal 11 2" xfId="154" xr:uid="{00000000-0005-0000-0000-00009B000000}"/>
    <cellStyle name="Normal 11 2 2" xfId="155" xr:uid="{00000000-0005-0000-0000-00009C000000}"/>
    <cellStyle name="Normal 11 2 2 2" xfId="156" xr:uid="{00000000-0005-0000-0000-00009D000000}"/>
    <cellStyle name="Normal 11 2 3" xfId="157" xr:uid="{00000000-0005-0000-0000-00009E000000}"/>
    <cellStyle name="Normal 11 3" xfId="158" xr:uid="{00000000-0005-0000-0000-00009F000000}"/>
    <cellStyle name="Normal 11 3 2" xfId="159" xr:uid="{00000000-0005-0000-0000-0000A0000000}"/>
    <cellStyle name="Normal 11 3 2 2" xfId="160" xr:uid="{00000000-0005-0000-0000-0000A1000000}"/>
    <cellStyle name="Normal 11 3 3" xfId="161" xr:uid="{00000000-0005-0000-0000-0000A2000000}"/>
    <cellStyle name="Normal 11 4" xfId="162" xr:uid="{00000000-0005-0000-0000-0000A3000000}"/>
    <cellStyle name="Normal 11 4 2" xfId="163" xr:uid="{00000000-0005-0000-0000-0000A4000000}"/>
    <cellStyle name="Normal 11 5" xfId="164" xr:uid="{00000000-0005-0000-0000-0000A5000000}"/>
    <cellStyle name="Normal 110" xfId="165" xr:uid="{00000000-0005-0000-0000-0000A6000000}"/>
    <cellStyle name="Normal 110 2" xfId="166" xr:uid="{00000000-0005-0000-0000-0000A7000000}"/>
    <cellStyle name="Normal 110 3" xfId="167" xr:uid="{00000000-0005-0000-0000-0000A8000000}"/>
    <cellStyle name="Normal 110 4" xfId="168" xr:uid="{00000000-0005-0000-0000-0000A9000000}"/>
    <cellStyle name="Normal 111" xfId="169" xr:uid="{00000000-0005-0000-0000-0000AA000000}"/>
    <cellStyle name="Normal 112" xfId="1363" xr:uid="{00000000-0005-0000-0000-0000AB000000}"/>
    <cellStyle name="Normal 113" xfId="1367" xr:uid="{00000000-0005-0000-0000-0000AC000000}"/>
    <cellStyle name="Normal 113 2" xfId="1371" xr:uid="{00000000-0005-0000-0000-0000AD000000}"/>
    <cellStyle name="Normal 114" xfId="1370" xr:uid="{00000000-0005-0000-0000-0000AE000000}"/>
    <cellStyle name="Normal 12" xfId="170" xr:uid="{00000000-0005-0000-0000-0000AF000000}"/>
    <cellStyle name="Normal 12 2" xfId="171" xr:uid="{00000000-0005-0000-0000-0000B0000000}"/>
    <cellStyle name="Normal 12 2 2" xfId="172" xr:uid="{00000000-0005-0000-0000-0000B1000000}"/>
    <cellStyle name="Normal 12 2 2 2" xfId="173" xr:uid="{00000000-0005-0000-0000-0000B2000000}"/>
    <cellStyle name="Normal 12 2 3" xfId="174" xr:uid="{00000000-0005-0000-0000-0000B3000000}"/>
    <cellStyle name="Normal 12 3" xfId="175" xr:uid="{00000000-0005-0000-0000-0000B4000000}"/>
    <cellStyle name="Normal 12 3 2" xfId="176" xr:uid="{00000000-0005-0000-0000-0000B5000000}"/>
    <cellStyle name="Normal 12 3 2 2" xfId="177" xr:uid="{00000000-0005-0000-0000-0000B6000000}"/>
    <cellStyle name="Normal 12 3 3" xfId="178" xr:uid="{00000000-0005-0000-0000-0000B7000000}"/>
    <cellStyle name="Normal 12 4" xfId="179" xr:uid="{00000000-0005-0000-0000-0000B8000000}"/>
    <cellStyle name="Normal 12 4 2" xfId="180" xr:uid="{00000000-0005-0000-0000-0000B9000000}"/>
    <cellStyle name="Normal 12 5" xfId="181" xr:uid="{00000000-0005-0000-0000-0000BA000000}"/>
    <cellStyle name="Normal 13" xfId="182" xr:uid="{00000000-0005-0000-0000-0000BB000000}"/>
    <cellStyle name="Normal 13 2" xfId="183" xr:uid="{00000000-0005-0000-0000-0000BC000000}"/>
    <cellStyle name="Normal 13 2 2" xfId="184" xr:uid="{00000000-0005-0000-0000-0000BD000000}"/>
    <cellStyle name="Normal 13 2 2 2" xfId="185" xr:uid="{00000000-0005-0000-0000-0000BE000000}"/>
    <cellStyle name="Normal 13 2 3" xfId="186" xr:uid="{00000000-0005-0000-0000-0000BF000000}"/>
    <cellStyle name="Normal 13 3" xfId="187" xr:uid="{00000000-0005-0000-0000-0000C0000000}"/>
    <cellStyle name="Normal 13 3 2" xfId="188" xr:uid="{00000000-0005-0000-0000-0000C1000000}"/>
    <cellStyle name="Normal 13 3 2 2" xfId="189" xr:uid="{00000000-0005-0000-0000-0000C2000000}"/>
    <cellStyle name="Normal 13 3 3" xfId="190" xr:uid="{00000000-0005-0000-0000-0000C3000000}"/>
    <cellStyle name="Normal 13 4" xfId="191" xr:uid="{00000000-0005-0000-0000-0000C4000000}"/>
    <cellStyle name="Normal 13 4 2" xfId="192" xr:uid="{00000000-0005-0000-0000-0000C5000000}"/>
    <cellStyle name="Normal 13 5" xfId="193" xr:uid="{00000000-0005-0000-0000-0000C6000000}"/>
    <cellStyle name="Normal 14" xfId="194" xr:uid="{00000000-0005-0000-0000-0000C7000000}"/>
    <cellStyle name="Normal 14 2" xfId="195" xr:uid="{00000000-0005-0000-0000-0000C8000000}"/>
    <cellStyle name="Normal 14 2 2" xfId="196" xr:uid="{00000000-0005-0000-0000-0000C9000000}"/>
    <cellStyle name="Normal 14 2 2 2" xfId="197" xr:uid="{00000000-0005-0000-0000-0000CA000000}"/>
    <cellStyle name="Normal 14 2 3" xfId="198" xr:uid="{00000000-0005-0000-0000-0000CB000000}"/>
    <cellStyle name="Normal 14 3" xfId="199" xr:uid="{00000000-0005-0000-0000-0000CC000000}"/>
    <cellStyle name="Normal 14 3 2" xfId="200" xr:uid="{00000000-0005-0000-0000-0000CD000000}"/>
    <cellStyle name="Normal 14 3 2 2" xfId="201" xr:uid="{00000000-0005-0000-0000-0000CE000000}"/>
    <cellStyle name="Normal 14 3 3" xfId="202" xr:uid="{00000000-0005-0000-0000-0000CF000000}"/>
    <cellStyle name="Normal 14 4" xfId="203" xr:uid="{00000000-0005-0000-0000-0000D0000000}"/>
    <cellStyle name="Normal 14 4 2" xfId="204" xr:uid="{00000000-0005-0000-0000-0000D1000000}"/>
    <cellStyle name="Normal 14 5" xfId="205" xr:uid="{00000000-0005-0000-0000-0000D2000000}"/>
    <cellStyle name="Normal 15" xfId="206" xr:uid="{00000000-0005-0000-0000-0000D3000000}"/>
    <cellStyle name="Normal 15 2" xfId="207" xr:uid="{00000000-0005-0000-0000-0000D4000000}"/>
    <cellStyle name="Normal 15 2 2" xfId="208" xr:uid="{00000000-0005-0000-0000-0000D5000000}"/>
    <cellStyle name="Normal 15 2 2 2" xfId="209" xr:uid="{00000000-0005-0000-0000-0000D6000000}"/>
    <cellStyle name="Normal 15 2 3" xfId="210" xr:uid="{00000000-0005-0000-0000-0000D7000000}"/>
    <cellStyle name="Normal 15 3" xfId="211" xr:uid="{00000000-0005-0000-0000-0000D8000000}"/>
    <cellStyle name="Normal 15 3 2" xfId="212" xr:uid="{00000000-0005-0000-0000-0000D9000000}"/>
    <cellStyle name="Normal 15 3 2 2" xfId="213" xr:uid="{00000000-0005-0000-0000-0000DA000000}"/>
    <cellStyle name="Normal 15 3 3" xfId="214" xr:uid="{00000000-0005-0000-0000-0000DB000000}"/>
    <cellStyle name="Normal 15 4" xfId="215" xr:uid="{00000000-0005-0000-0000-0000DC000000}"/>
    <cellStyle name="Normal 15 4 2" xfId="216" xr:uid="{00000000-0005-0000-0000-0000DD000000}"/>
    <cellStyle name="Normal 15 5" xfId="217" xr:uid="{00000000-0005-0000-0000-0000DE000000}"/>
    <cellStyle name="Normal 16" xfId="218" xr:uid="{00000000-0005-0000-0000-0000DF000000}"/>
    <cellStyle name="Normal 16 2" xfId="219" xr:uid="{00000000-0005-0000-0000-0000E0000000}"/>
    <cellStyle name="Normal 16 2 2" xfId="220" xr:uid="{00000000-0005-0000-0000-0000E1000000}"/>
    <cellStyle name="Normal 16 2 2 2" xfId="221" xr:uid="{00000000-0005-0000-0000-0000E2000000}"/>
    <cellStyle name="Normal 16 2 3" xfId="222" xr:uid="{00000000-0005-0000-0000-0000E3000000}"/>
    <cellStyle name="Normal 16 3" xfId="223" xr:uid="{00000000-0005-0000-0000-0000E4000000}"/>
    <cellStyle name="Normal 16 3 2" xfId="224" xr:uid="{00000000-0005-0000-0000-0000E5000000}"/>
    <cellStyle name="Normal 16 3 2 2" xfId="225" xr:uid="{00000000-0005-0000-0000-0000E6000000}"/>
    <cellStyle name="Normal 16 3 3" xfId="226" xr:uid="{00000000-0005-0000-0000-0000E7000000}"/>
    <cellStyle name="Normal 16 4" xfId="227" xr:uid="{00000000-0005-0000-0000-0000E8000000}"/>
    <cellStyle name="Normal 16 4 2" xfId="228" xr:uid="{00000000-0005-0000-0000-0000E9000000}"/>
    <cellStyle name="Normal 16 5" xfId="229" xr:uid="{00000000-0005-0000-0000-0000EA000000}"/>
    <cellStyle name="Normal 17" xfId="230" xr:uid="{00000000-0005-0000-0000-0000EB000000}"/>
    <cellStyle name="Normal 17 2" xfId="231" xr:uid="{00000000-0005-0000-0000-0000EC000000}"/>
    <cellStyle name="Normal 17 2 2" xfId="232" xr:uid="{00000000-0005-0000-0000-0000ED000000}"/>
    <cellStyle name="Normal 17 2 2 2" xfId="233" xr:uid="{00000000-0005-0000-0000-0000EE000000}"/>
    <cellStyle name="Normal 17 2 3" xfId="234" xr:uid="{00000000-0005-0000-0000-0000EF000000}"/>
    <cellStyle name="Normal 17 3" xfId="235" xr:uid="{00000000-0005-0000-0000-0000F0000000}"/>
    <cellStyle name="Normal 17 3 2" xfId="236" xr:uid="{00000000-0005-0000-0000-0000F1000000}"/>
    <cellStyle name="Normal 17 3 2 2" xfId="237" xr:uid="{00000000-0005-0000-0000-0000F2000000}"/>
    <cellStyle name="Normal 17 3 3" xfId="238" xr:uid="{00000000-0005-0000-0000-0000F3000000}"/>
    <cellStyle name="Normal 17 4" xfId="239" xr:uid="{00000000-0005-0000-0000-0000F4000000}"/>
    <cellStyle name="Normal 17 4 2" xfId="240" xr:uid="{00000000-0005-0000-0000-0000F5000000}"/>
    <cellStyle name="Normal 17 5" xfId="241" xr:uid="{00000000-0005-0000-0000-0000F6000000}"/>
    <cellStyle name="Normal 18" xfId="242" xr:uid="{00000000-0005-0000-0000-0000F7000000}"/>
    <cellStyle name="Normal 18 2" xfId="243" xr:uid="{00000000-0005-0000-0000-0000F8000000}"/>
    <cellStyle name="Normal 18 2 2" xfId="244" xr:uid="{00000000-0005-0000-0000-0000F9000000}"/>
    <cellStyle name="Normal 18 2 2 2" xfId="245" xr:uid="{00000000-0005-0000-0000-0000FA000000}"/>
    <cellStyle name="Normal 18 2 3" xfId="246" xr:uid="{00000000-0005-0000-0000-0000FB000000}"/>
    <cellStyle name="Normal 18 3" xfId="247" xr:uid="{00000000-0005-0000-0000-0000FC000000}"/>
    <cellStyle name="Normal 18 3 2" xfId="248" xr:uid="{00000000-0005-0000-0000-0000FD000000}"/>
    <cellStyle name="Normal 18 3 2 2" xfId="249" xr:uid="{00000000-0005-0000-0000-0000FE000000}"/>
    <cellStyle name="Normal 18 3 3" xfId="250" xr:uid="{00000000-0005-0000-0000-0000FF000000}"/>
    <cellStyle name="Normal 18 4" xfId="251" xr:uid="{00000000-0005-0000-0000-000000010000}"/>
    <cellStyle name="Normal 18 4 2" xfId="252" xr:uid="{00000000-0005-0000-0000-000001010000}"/>
    <cellStyle name="Normal 18 5" xfId="253" xr:uid="{00000000-0005-0000-0000-000002010000}"/>
    <cellStyle name="Normal 19" xfId="254" xr:uid="{00000000-0005-0000-0000-000003010000}"/>
    <cellStyle name="Normal 19 2" xfId="255" xr:uid="{00000000-0005-0000-0000-000004010000}"/>
    <cellStyle name="Normal 19 2 2" xfId="256" xr:uid="{00000000-0005-0000-0000-000005010000}"/>
    <cellStyle name="Normal 19 2 2 2" xfId="257" xr:uid="{00000000-0005-0000-0000-000006010000}"/>
    <cellStyle name="Normal 19 2 3" xfId="258" xr:uid="{00000000-0005-0000-0000-000007010000}"/>
    <cellStyle name="Normal 19 3" xfId="259" xr:uid="{00000000-0005-0000-0000-000008010000}"/>
    <cellStyle name="Normal 19 3 2" xfId="260" xr:uid="{00000000-0005-0000-0000-000009010000}"/>
    <cellStyle name="Normal 19 3 2 2" xfId="261" xr:uid="{00000000-0005-0000-0000-00000A010000}"/>
    <cellStyle name="Normal 19 3 3" xfId="262" xr:uid="{00000000-0005-0000-0000-00000B010000}"/>
    <cellStyle name="Normal 19 4" xfId="263" xr:uid="{00000000-0005-0000-0000-00000C010000}"/>
    <cellStyle name="Normal 19 4 2" xfId="264" xr:uid="{00000000-0005-0000-0000-00000D010000}"/>
    <cellStyle name="Normal 19 5" xfId="265" xr:uid="{00000000-0005-0000-0000-00000E010000}"/>
    <cellStyle name="Normal 2" xfId="266" xr:uid="{00000000-0005-0000-0000-00000F010000}"/>
    <cellStyle name="Normal 2 2" xfId="267" xr:uid="{00000000-0005-0000-0000-000010010000}"/>
    <cellStyle name="Normal 2 2 2" xfId="268" xr:uid="{00000000-0005-0000-0000-000011010000}"/>
    <cellStyle name="Normal 2 2 2 2" xfId="269" xr:uid="{00000000-0005-0000-0000-000012010000}"/>
    <cellStyle name="Normal 2 2 3" xfId="270" xr:uid="{00000000-0005-0000-0000-000013010000}"/>
    <cellStyle name="Normal 2 3" xfId="271" xr:uid="{00000000-0005-0000-0000-000014010000}"/>
    <cellStyle name="Normal 2 3 2" xfId="272" xr:uid="{00000000-0005-0000-0000-000015010000}"/>
    <cellStyle name="Normal 2 3 2 2" xfId="1366" xr:uid="{00000000-0005-0000-0000-000016010000}"/>
    <cellStyle name="Normal 2 3 2 3" xfId="1369" xr:uid="{00000000-0005-0000-0000-000017010000}"/>
    <cellStyle name="Normal 2 3 3" xfId="273" xr:uid="{00000000-0005-0000-0000-000018010000}"/>
    <cellStyle name="Normal 2 3 3 2" xfId="274" xr:uid="{00000000-0005-0000-0000-000019010000}"/>
    <cellStyle name="Normal 2 3 3 2 2" xfId="275" xr:uid="{00000000-0005-0000-0000-00001A010000}"/>
    <cellStyle name="Normal 2 3 3 3" xfId="276" xr:uid="{00000000-0005-0000-0000-00001B010000}"/>
    <cellStyle name="Normal 2 3 4" xfId="1368" xr:uid="{00000000-0005-0000-0000-00001C010000}"/>
    <cellStyle name="Normal 2 4" xfId="277" xr:uid="{00000000-0005-0000-0000-00001D010000}"/>
    <cellStyle name="Normal 2 4 2" xfId="278" xr:uid="{00000000-0005-0000-0000-00001E010000}"/>
    <cellStyle name="Normal 2 4 2 2" xfId="279" xr:uid="{00000000-0005-0000-0000-00001F010000}"/>
    <cellStyle name="Normal 2 4 3" xfId="280" xr:uid="{00000000-0005-0000-0000-000020010000}"/>
    <cellStyle name="Normal 2 5" xfId="281" xr:uid="{00000000-0005-0000-0000-000021010000}"/>
    <cellStyle name="Normal 2 5 2" xfId="282" xr:uid="{00000000-0005-0000-0000-000022010000}"/>
    <cellStyle name="Normal 2 6" xfId="283" xr:uid="{00000000-0005-0000-0000-000023010000}"/>
    <cellStyle name="Normal 20" xfId="284" xr:uid="{00000000-0005-0000-0000-000024010000}"/>
    <cellStyle name="Normal 20 2" xfId="285" xr:uid="{00000000-0005-0000-0000-000025010000}"/>
    <cellStyle name="Normal 20 2 2" xfId="286" xr:uid="{00000000-0005-0000-0000-000026010000}"/>
    <cellStyle name="Normal 20 2 2 2" xfId="287" xr:uid="{00000000-0005-0000-0000-000027010000}"/>
    <cellStyle name="Normal 20 2 3" xfId="288" xr:uid="{00000000-0005-0000-0000-000028010000}"/>
    <cellStyle name="Normal 20 3" xfId="289" xr:uid="{00000000-0005-0000-0000-000029010000}"/>
    <cellStyle name="Normal 20 3 2" xfId="290" xr:uid="{00000000-0005-0000-0000-00002A010000}"/>
    <cellStyle name="Normal 20 3 2 2" xfId="291" xr:uid="{00000000-0005-0000-0000-00002B010000}"/>
    <cellStyle name="Normal 20 3 3" xfId="292" xr:uid="{00000000-0005-0000-0000-00002C010000}"/>
    <cellStyle name="Normal 20 4" xfId="293" xr:uid="{00000000-0005-0000-0000-00002D010000}"/>
    <cellStyle name="Normal 20 4 2" xfId="294" xr:uid="{00000000-0005-0000-0000-00002E010000}"/>
    <cellStyle name="Normal 20 5" xfId="295" xr:uid="{00000000-0005-0000-0000-00002F010000}"/>
    <cellStyle name="Normal 21" xfId="296" xr:uid="{00000000-0005-0000-0000-000030010000}"/>
    <cellStyle name="Normal 21 2" xfId="297" xr:uid="{00000000-0005-0000-0000-000031010000}"/>
    <cellStyle name="Normal 21 2 2" xfId="298" xr:uid="{00000000-0005-0000-0000-000032010000}"/>
    <cellStyle name="Normal 21 2 2 2" xfId="299" xr:uid="{00000000-0005-0000-0000-000033010000}"/>
    <cellStyle name="Normal 21 2 3" xfId="300" xr:uid="{00000000-0005-0000-0000-000034010000}"/>
    <cellStyle name="Normal 21 3" xfId="301" xr:uid="{00000000-0005-0000-0000-000035010000}"/>
    <cellStyle name="Normal 21 3 2" xfId="302" xr:uid="{00000000-0005-0000-0000-000036010000}"/>
    <cellStyle name="Normal 21 3 2 2" xfId="303" xr:uid="{00000000-0005-0000-0000-000037010000}"/>
    <cellStyle name="Normal 21 3 3" xfId="304" xr:uid="{00000000-0005-0000-0000-000038010000}"/>
    <cellStyle name="Normal 21 4" xfId="305" xr:uid="{00000000-0005-0000-0000-000039010000}"/>
    <cellStyle name="Normal 21 4 2" xfId="306" xr:uid="{00000000-0005-0000-0000-00003A010000}"/>
    <cellStyle name="Normal 21 5" xfId="307" xr:uid="{00000000-0005-0000-0000-00003B010000}"/>
    <cellStyle name="Normal 22" xfId="308" xr:uid="{00000000-0005-0000-0000-00003C010000}"/>
    <cellStyle name="Normal 22 2" xfId="309" xr:uid="{00000000-0005-0000-0000-00003D010000}"/>
    <cellStyle name="Normal 22 2 2" xfId="310" xr:uid="{00000000-0005-0000-0000-00003E010000}"/>
    <cellStyle name="Normal 22 2 2 2" xfId="311" xr:uid="{00000000-0005-0000-0000-00003F010000}"/>
    <cellStyle name="Normal 22 2 3" xfId="312" xr:uid="{00000000-0005-0000-0000-000040010000}"/>
    <cellStyle name="Normal 22 3" xfId="313" xr:uid="{00000000-0005-0000-0000-000041010000}"/>
    <cellStyle name="Normal 22 3 2" xfId="314" xr:uid="{00000000-0005-0000-0000-000042010000}"/>
    <cellStyle name="Normal 22 3 2 2" xfId="315" xr:uid="{00000000-0005-0000-0000-000043010000}"/>
    <cellStyle name="Normal 22 3 3" xfId="316" xr:uid="{00000000-0005-0000-0000-000044010000}"/>
    <cellStyle name="Normal 22 4" xfId="317" xr:uid="{00000000-0005-0000-0000-000045010000}"/>
    <cellStyle name="Normal 22 4 2" xfId="318" xr:uid="{00000000-0005-0000-0000-000046010000}"/>
    <cellStyle name="Normal 22 5" xfId="319" xr:uid="{00000000-0005-0000-0000-000047010000}"/>
    <cellStyle name="Normal 23" xfId="320" xr:uid="{00000000-0005-0000-0000-000048010000}"/>
    <cellStyle name="Normal 23 2" xfId="321" xr:uid="{00000000-0005-0000-0000-000049010000}"/>
    <cellStyle name="Normal 23 2 2" xfId="322" xr:uid="{00000000-0005-0000-0000-00004A010000}"/>
    <cellStyle name="Normal 23 2 2 2" xfId="323" xr:uid="{00000000-0005-0000-0000-00004B010000}"/>
    <cellStyle name="Normal 23 2 3" xfId="324" xr:uid="{00000000-0005-0000-0000-00004C010000}"/>
    <cellStyle name="Normal 23 3" xfId="325" xr:uid="{00000000-0005-0000-0000-00004D010000}"/>
    <cellStyle name="Normal 23 3 2" xfId="326" xr:uid="{00000000-0005-0000-0000-00004E010000}"/>
    <cellStyle name="Normal 23 3 2 2" xfId="327" xr:uid="{00000000-0005-0000-0000-00004F010000}"/>
    <cellStyle name="Normal 23 3 3" xfId="328" xr:uid="{00000000-0005-0000-0000-000050010000}"/>
    <cellStyle name="Normal 23 4" xfId="329" xr:uid="{00000000-0005-0000-0000-000051010000}"/>
    <cellStyle name="Normal 23 4 2" xfId="330" xr:uid="{00000000-0005-0000-0000-000052010000}"/>
    <cellStyle name="Normal 23 5" xfId="331" xr:uid="{00000000-0005-0000-0000-000053010000}"/>
    <cellStyle name="Normal 24" xfId="332" xr:uid="{00000000-0005-0000-0000-000054010000}"/>
    <cellStyle name="Normal 24 2" xfId="333" xr:uid="{00000000-0005-0000-0000-000055010000}"/>
    <cellStyle name="Normal 24 2 2" xfId="334" xr:uid="{00000000-0005-0000-0000-000056010000}"/>
    <cellStyle name="Normal 24 2 2 2" xfId="335" xr:uid="{00000000-0005-0000-0000-000057010000}"/>
    <cellStyle name="Normal 24 2 3" xfId="336" xr:uid="{00000000-0005-0000-0000-000058010000}"/>
    <cellStyle name="Normal 24 3" xfId="337" xr:uid="{00000000-0005-0000-0000-000059010000}"/>
    <cellStyle name="Normal 24 3 2" xfId="338" xr:uid="{00000000-0005-0000-0000-00005A010000}"/>
    <cellStyle name="Normal 24 3 2 2" xfId="339" xr:uid="{00000000-0005-0000-0000-00005B010000}"/>
    <cellStyle name="Normal 24 3 3" xfId="340" xr:uid="{00000000-0005-0000-0000-00005C010000}"/>
    <cellStyle name="Normal 24 4" xfId="341" xr:uid="{00000000-0005-0000-0000-00005D010000}"/>
    <cellStyle name="Normal 24 4 2" xfId="342" xr:uid="{00000000-0005-0000-0000-00005E010000}"/>
    <cellStyle name="Normal 24 5" xfId="343" xr:uid="{00000000-0005-0000-0000-00005F010000}"/>
    <cellStyle name="Normal 25" xfId="344" xr:uid="{00000000-0005-0000-0000-000060010000}"/>
    <cellStyle name="Normal 25 2" xfId="345" xr:uid="{00000000-0005-0000-0000-000061010000}"/>
    <cellStyle name="Normal 25 2 2" xfId="346" xr:uid="{00000000-0005-0000-0000-000062010000}"/>
    <cellStyle name="Normal 25 2 2 2" xfId="347" xr:uid="{00000000-0005-0000-0000-000063010000}"/>
    <cellStyle name="Normal 25 2 3" xfId="348" xr:uid="{00000000-0005-0000-0000-000064010000}"/>
    <cellStyle name="Normal 25 3" xfId="349" xr:uid="{00000000-0005-0000-0000-000065010000}"/>
    <cellStyle name="Normal 25 3 2" xfId="350" xr:uid="{00000000-0005-0000-0000-000066010000}"/>
    <cellStyle name="Normal 25 3 2 2" xfId="351" xr:uid="{00000000-0005-0000-0000-000067010000}"/>
    <cellStyle name="Normal 25 3 3" xfId="352" xr:uid="{00000000-0005-0000-0000-000068010000}"/>
    <cellStyle name="Normal 25 4" xfId="353" xr:uid="{00000000-0005-0000-0000-000069010000}"/>
    <cellStyle name="Normal 25 4 2" xfId="354" xr:uid="{00000000-0005-0000-0000-00006A010000}"/>
    <cellStyle name="Normal 25 5" xfId="355" xr:uid="{00000000-0005-0000-0000-00006B010000}"/>
    <cellStyle name="Normal 26" xfId="356" xr:uid="{00000000-0005-0000-0000-00006C010000}"/>
    <cellStyle name="Normal 26 2" xfId="357" xr:uid="{00000000-0005-0000-0000-00006D010000}"/>
    <cellStyle name="Normal 26 2 2" xfId="358" xr:uid="{00000000-0005-0000-0000-00006E010000}"/>
    <cellStyle name="Normal 26 2 2 2" xfId="359" xr:uid="{00000000-0005-0000-0000-00006F010000}"/>
    <cellStyle name="Normal 26 2 3" xfId="360" xr:uid="{00000000-0005-0000-0000-000070010000}"/>
    <cellStyle name="Normal 26 3" xfId="361" xr:uid="{00000000-0005-0000-0000-000071010000}"/>
    <cellStyle name="Normal 26 3 2" xfId="362" xr:uid="{00000000-0005-0000-0000-000072010000}"/>
    <cellStyle name="Normal 26 3 2 2" xfId="363" xr:uid="{00000000-0005-0000-0000-000073010000}"/>
    <cellStyle name="Normal 26 3 3" xfId="364" xr:uid="{00000000-0005-0000-0000-000074010000}"/>
    <cellStyle name="Normal 26 4" xfId="365" xr:uid="{00000000-0005-0000-0000-000075010000}"/>
    <cellStyle name="Normal 26 4 2" xfId="366" xr:uid="{00000000-0005-0000-0000-000076010000}"/>
    <cellStyle name="Normal 26 5" xfId="367" xr:uid="{00000000-0005-0000-0000-000077010000}"/>
    <cellStyle name="Normal 27" xfId="368" xr:uid="{00000000-0005-0000-0000-000078010000}"/>
    <cellStyle name="Normal 27 2" xfId="369" xr:uid="{00000000-0005-0000-0000-000079010000}"/>
    <cellStyle name="Normal 27 2 2" xfId="370" xr:uid="{00000000-0005-0000-0000-00007A010000}"/>
    <cellStyle name="Normal 27 2 2 2" xfId="371" xr:uid="{00000000-0005-0000-0000-00007B010000}"/>
    <cellStyle name="Normal 27 2 3" xfId="372" xr:uid="{00000000-0005-0000-0000-00007C010000}"/>
    <cellStyle name="Normal 27 3" xfId="373" xr:uid="{00000000-0005-0000-0000-00007D010000}"/>
    <cellStyle name="Normal 27 3 2" xfId="374" xr:uid="{00000000-0005-0000-0000-00007E010000}"/>
    <cellStyle name="Normal 27 3 2 2" xfId="375" xr:uid="{00000000-0005-0000-0000-00007F010000}"/>
    <cellStyle name="Normal 27 3 3" xfId="376" xr:uid="{00000000-0005-0000-0000-000080010000}"/>
    <cellStyle name="Normal 27 4" xfId="377" xr:uid="{00000000-0005-0000-0000-000081010000}"/>
    <cellStyle name="Normal 27 4 2" xfId="378" xr:uid="{00000000-0005-0000-0000-000082010000}"/>
    <cellStyle name="Normal 27 5" xfId="379" xr:uid="{00000000-0005-0000-0000-000083010000}"/>
    <cellStyle name="Normal 28" xfId="380" xr:uid="{00000000-0005-0000-0000-000084010000}"/>
    <cellStyle name="Normal 28 2" xfId="381" xr:uid="{00000000-0005-0000-0000-000085010000}"/>
    <cellStyle name="Normal 28 2 2" xfId="382" xr:uid="{00000000-0005-0000-0000-000086010000}"/>
    <cellStyle name="Normal 28 2 2 2" xfId="383" xr:uid="{00000000-0005-0000-0000-000087010000}"/>
    <cellStyle name="Normal 28 2 3" xfId="384" xr:uid="{00000000-0005-0000-0000-000088010000}"/>
    <cellStyle name="Normal 28 3" xfId="385" xr:uid="{00000000-0005-0000-0000-000089010000}"/>
    <cellStyle name="Normal 28 3 2" xfId="386" xr:uid="{00000000-0005-0000-0000-00008A010000}"/>
    <cellStyle name="Normal 28 3 2 2" xfId="387" xr:uid="{00000000-0005-0000-0000-00008B010000}"/>
    <cellStyle name="Normal 28 3 3" xfId="388" xr:uid="{00000000-0005-0000-0000-00008C010000}"/>
    <cellStyle name="Normal 28 4" xfId="389" xr:uid="{00000000-0005-0000-0000-00008D010000}"/>
    <cellStyle name="Normal 28 4 2" xfId="390" xr:uid="{00000000-0005-0000-0000-00008E010000}"/>
    <cellStyle name="Normal 28 5" xfId="391" xr:uid="{00000000-0005-0000-0000-00008F010000}"/>
    <cellStyle name="Normal 29" xfId="392" xr:uid="{00000000-0005-0000-0000-000090010000}"/>
    <cellStyle name="Normal 29 2" xfId="393" xr:uid="{00000000-0005-0000-0000-000091010000}"/>
    <cellStyle name="Normal 29 2 2" xfId="394" xr:uid="{00000000-0005-0000-0000-000092010000}"/>
    <cellStyle name="Normal 29 2 2 2" xfId="395" xr:uid="{00000000-0005-0000-0000-000093010000}"/>
    <cellStyle name="Normal 29 2 3" xfId="396" xr:uid="{00000000-0005-0000-0000-000094010000}"/>
    <cellStyle name="Normal 29 3" xfId="397" xr:uid="{00000000-0005-0000-0000-000095010000}"/>
    <cellStyle name="Normal 29 3 2" xfId="398" xr:uid="{00000000-0005-0000-0000-000096010000}"/>
    <cellStyle name="Normal 29 3 2 2" xfId="399" xr:uid="{00000000-0005-0000-0000-000097010000}"/>
    <cellStyle name="Normal 29 3 3" xfId="400" xr:uid="{00000000-0005-0000-0000-000098010000}"/>
    <cellStyle name="Normal 29 4" xfId="401" xr:uid="{00000000-0005-0000-0000-000099010000}"/>
    <cellStyle name="Normal 29 4 2" xfId="402" xr:uid="{00000000-0005-0000-0000-00009A010000}"/>
    <cellStyle name="Normal 29 5" xfId="403" xr:uid="{00000000-0005-0000-0000-00009B010000}"/>
    <cellStyle name="Normal 3" xfId="404" xr:uid="{00000000-0005-0000-0000-00009C010000}"/>
    <cellStyle name="Normal 3 2" xfId="405" xr:uid="{00000000-0005-0000-0000-00009D010000}"/>
    <cellStyle name="Normal 3 2 2" xfId="406" xr:uid="{00000000-0005-0000-0000-00009E010000}"/>
    <cellStyle name="Normal 3 2 2 2" xfId="407" xr:uid="{00000000-0005-0000-0000-00009F010000}"/>
    <cellStyle name="Normal 3 2 2 2 2" xfId="408" xr:uid="{00000000-0005-0000-0000-0000A0010000}"/>
    <cellStyle name="Normal 3 2 2 3" xfId="409" xr:uid="{00000000-0005-0000-0000-0000A1010000}"/>
    <cellStyle name="Normal 3 2 3" xfId="410" xr:uid="{00000000-0005-0000-0000-0000A2010000}"/>
    <cellStyle name="Normal 3 2 3 2" xfId="411" xr:uid="{00000000-0005-0000-0000-0000A3010000}"/>
    <cellStyle name="Normal 3 2 3 2 2" xfId="412" xr:uid="{00000000-0005-0000-0000-0000A4010000}"/>
    <cellStyle name="Normal 3 2 3 3" xfId="413" xr:uid="{00000000-0005-0000-0000-0000A5010000}"/>
    <cellStyle name="Normal 3 2 4" xfId="414" xr:uid="{00000000-0005-0000-0000-0000A6010000}"/>
    <cellStyle name="Normal 3 2 4 2" xfId="415" xr:uid="{00000000-0005-0000-0000-0000A7010000}"/>
    <cellStyle name="Normal 3 2 5" xfId="416" xr:uid="{00000000-0005-0000-0000-0000A8010000}"/>
    <cellStyle name="Normal 3 3" xfId="417" xr:uid="{00000000-0005-0000-0000-0000A9010000}"/>
    <cellStyle name="Normal 3 3 2" xfId="418" xr:uid="{00000000-0005-0000-0000-0000AA010000}"/>
    <cellStyle name="Normal 3 3 2 2" xfId="419" xr:uid="{00000000-0005-0000-0000-0000AB010000}"/>
    <cellStyle name="Normal 3 3 3" xfId="420" xr:uid="{00000000-0005-0000-0000-0000AC010000}"/>
    <cellStyle name="Normal 3 4" xfId="421" xr:uid="{00000000-0005-0000-0000-0000AD010000}"/>
    <cellStyle name="Normal 3 4 2" xfId="422" xr:uid="{00000000-0005-0000-0000-0000AE010000}"/>
    <cellStyle name="Normal 3 4 2 2" xfId="423" xr:uid="{00000000-0005-0000-0000-0000AF010000}"/>
    <cellStyle name="Normal 3 4 3" xfId="424" xr:uid="{00000000-0005-0000-0000-0000B0010000}"/>
    <cellStyle name="Normal 3 5" xfId="425" xr:uid="{00000000-0005-0000-0000-0000B1010000}"/>
    <cellStyle name="Normal 3 5 2" xfId="426" xr:uid="{00000000-0005-0000-0000-0000B2010000}"/>
    <cellStyle name="Normal 3 6" xfId="427" xr:uid="{00000000-0005-0000-0000-0000B3010000}"/>
    <cellStyle name="Normal 30" xfId="428" xr:uid="{00000000-0005-0000-0000-0000B4010000}"/>
    <cellStyle name="Normal 30 2" xfId="429" xr:uid="{00000000-0005-0000-0000-0000B5010000}"/>
    <cellStyle name="Normal 30 2 2" xfId="430" xr:uid="{00000000-0005-0000-0000-0000B6010000}"/>
    <cellStyle name="Normal 30 2 2 2" xfId="431" xr:uid="{00000000-0005-0000-0000-0000B7010000}"/>
    <cellStyle name="Normal 30 2 3" xfId="432" xr:uid="{00000000-0005-0000-0000-0000B8010000}"/>
    <cellStyle name="Normal 30 3" xfId="433" xr:uid="{00000000-0005-0000-0000-0000B9010000}"/>
    <cellStyle name="Normal 30 3 2" xfId="434" xr:uid="{00000000-0005-0000-0000-0000BA010000}"/>
    <cellStyle name="Normal 30 3 2 2" xfId="435" xr:uid="{00000000-0005-0000-0000-0000BB010000}"/>
    <cellStyle name="Normal 30 3 3" xfId="436" xr:uid="{00000000-0005-0000-0000-0000BC010000}"/>
    <cellStyle name="Normal 30 4" xfId="437" xr:uid="{00000000-0005-0000-0000-0000BD010000}"/>
    <cellStyle name="Normal 30 4 2" xfId="438" xr:uid="{00000000-0005-0000-0000-0000BE010000}"/>
    <cellStyle name="Normal 30 5" xfId="439" xr:uid="{00000000-0005-0000-0000-0000BF010000}"/>
    <cellStyle name="Normal 31" xfId="440" xr:uid="{00000000-0005-0000-0000-0000C0010000}"/>
    <cellStyle name="Normal 31 2" xfId="441" xr:uid="{00000000-0005-0000-0000-0000C1010000}"/>
    <cellStyle name="Normal 31 2 2" xfId="442" xr:uid="{00000000-0005-0000-0000-0000C2010000}"/>
    <cellStyle name="Normal 31 2 2 2" xfId="443" xr:uid="{00000000-0005-0000-0000-0000C3010000}"/>
    <cellStyle name="Normal 31 2 3" xfId="444" xr:uid="{00000000-0005-0000-0000-0000C4010000}"/>
    <cellStyle name="Normal 31 3" xfId="445" xr:uid="{00000000-0005-0000-0000-0000C5010000}"/>
    <cellStyle name="Normal 31 3 2" xfId="446" xr:uid="{00000000-0005-0000-0000-0000C6010000}"/>
    <cellStyle name="Normal 31 3 2 2" xfId="447" xr:uid="{00000000-0005-0000-0000-0000C7010000}"/>
    <cellStyle name="Normal 31 3 3" xfId="448" xr:uid="{00000000-0005-0000-0000-0000C8010000}"/>
    <cellStyle name="Normal 31 4" xfId="449" xr:uid="{00000000-0005-0000-0000-0000C9010000}"/>
    <cellStyle name="Normal 31 4 2" xfId="450" xr:uid="{00000000-0005-0000-0000-0000CA010000}"/>
    <cellStyle name="Normal 31 5" xfId="451" xr:uid="{00000000-0005-0000-0000-0000CB010000}"/>
    <cellStyle name="Normal 32" xfId="452" xr:uid="{00000000-0005-0000-0000-0000CC010000}"/>
    <cellStyle name="Normal 32 2" xfId="453" xr:uid="{00000000-0005-0000-0000-0000CD010000}"/>
    <cellStyle name="Normal 32 2 2" xfId="454" xr:uid="{00000000-0005-0000-0000-0000CE010000}"/>
    <cellStyle name="Normal 32 2 2 2" xfId="455" xr:uid="{00000000-0005-0000-0000-0000CF010000}"/>
    <cellStyle name="Normal 32 2 3" xfId="456" xr:uid="{00000000-0005-0000-0000-0000D0010000}"/>
    <cellStyle name="Normal 32 3" xfId="457" xr:uid="{00000000-0005-0000-0000-0000D1010000}"/>
    <cellStyle name="Normal 32 3 2" xfId="458" xr:uid="{00000000-0005-0000-0000-0000D2010000}"/>
    <cellStyle name="Normal 32 3 2 2" xfId="459" xr:uid="{00000000-0005-0000-0000-0000D3010000}"/>
    <cellStyle name="Normal 32 3 3" xfId="460" xr:uid="{00000000-0005-0000-0000-0000D4010000}"/>
    <cellStyle name="Normal 32 4" xfId="461" xr:uid="{00000000-0005-0000-0000-0000D5010000}"/>
    <cellStyle name="Normal 32 4 2" xfId="462" xr:uid="{00000000-0005-0000-0000-0000D6010000}"/>
    <cellStyle name="Normal 32 5" xfId="463" xr:uid="{00000000-0005-0000-0000-0000D7010000}"/>
    <cellStyle name="Normal 33" xfId="464" xr:uid="{00000000-0005-0000-0000-0000D8010000}"/>
    <cellStyle name="Normal 33 2" xfId="465" xr:uid="{00000000-0005-0000-0000-0000D9010000}"/>
    <cellStyle name="Normal 33 2 2" xfId="466" xr:uid="{00000000-0005-0000-0000-0000DA010000}"/>
    <cellStyle name="Normal 33 2 2 2" xfId="467" xr:uid="{00000000-0005-0000-0000-0000DB010000}"/>
    <cellStyle name="Normal 33 2 3" xfId="468" xr:uid="{00000000-0005-0000-0000-0000DC010000}"/>
    <cellStyle name="Normal 33 3" xfId="469" xr:uid="{00000000-0005-0000-0000-0000DD010000}"/>
    <cellStyle name="Normal 33 3 2" xfId="470" xr:uid="{00000000-0005-0000-0000-0000DE010000}"/>
    <cellStyle name="Normal 33 3 2 2" xfId="471" xr:uid="{00000000-0005-0000-0000-0000DF010000}"/>
    <cellStyle name="Normal 33 3 3" xfId="472" xr:uid="{00000000-0005-0000-0000-0000E0010000}"/>
    <cellStyle name="Normal 33 4" xfId="473" xr:uid="{00000000-0005-0000-0000-0000E1010000}"/>
    <cellStyle name="Normal 33 4 2" xfId="474" xr:uid="{00000000-0005-0000-0000-0000E2010000}"/>
    <cellStyle name="Normal 33 5" xfId="475" xr:uid="{00000000-0005-0000-0000-0000E3010000}"/>
    <cellStyle name="Normal 34" xfId="476" xr:uid="{00000000-0005-0000-0000-0000E4010000}"/>
    <cellStyle name="Normal 34 2" xfId="477" xr:uid="{00000000-0005-0000-0000-0000E5010000}"/>
    <cellStyle name="Normal 34 2 2" xfId="478" xr:uid="{00000000-0005-0000-0000-0000E6010000}"/>
    <cellStyle name="Normal 34 2 2 2" xfId="479" xr:uid="{00000000-0005-0000-0000-0000E7010000}"/>
    <cellStyle name="Normal 34 2 3" xfId="480" xr:uid="{00000000-0005-0000-0000-0000E8010000}"/>
    <cellStyle name="Normal 34 3" xfId="481" xr:uid="{00000000-0005-0000-0000-0000E9010000}"/>
    <cellStyle name="Normal 34 3 2" xfId="482" xr:uid="{00000000-0005-0000-0000-0000EA010000}"/>
    <cellStyle name="Normal 34 3 2 2" xfId="483" xr:uid="{00000000-0005-0000-0000-0000EB010000}"/>
    <cellStyle name="Normal 34 3 3" xfId="484" xr:uid="{00000000-0005-0000-0000-0000EC010000}"/>
    <cellStyle name="Normal 34 4" xfId="485" xr:uid="{00000000-0005-0000-0000-0000ED010000}"/>
    <cellStyle name="Normal 34 4 2" xfId="486" xr:uid="{00000000-0005-0000-0000-0000EE010000}"/>
    <cellStyle name="Normal 34 5" xfId="487" xr:uid="{00000000-0005-0000-0000-0000EF010000}"/>
    <cellStyle name="Normal 35" xfId="488" xr:uid="{00000000-0005-0000-0000-0000F0010000}"/>
    <cellStyle name="Normal 35 2" xfId="489" xr:uid="{00000000-0005-0000-0000-0000F1010000}"/>
    <cellStyle name="Normal 35 2 2" xfId="490" xr:uid="{00000000-0005-0000-0000-0000F2010000}"/>
    <cellStyle name="Normal 35 2 2 2" xfId="491" xr:uid="{00000000-0005-0000-0000-0000F3010000}"/>
    <cellStyle name="Normal 35 2 3" xfId="492" xr:uid="{00000000-0005-0000-0000-0000F4010000}"/>
    <cellStyle name="Normal 35 3" xfId="493" xr:uid="{00000000-0005-0000-0000-0000F5010000}"/>
    <cellStyle name="Normal 35 3 2" xfId="494" xr:uid="{00000000-0005-0000-0000-0000F6010000}"/>
    <cellStyle name="Normal 35 3 2 2" xfId="495" xr:uid="{00000000-0005-0000-0000-0000F7010000}"/>
    <cellStyle name="Normal 35 3 3" xfId="496" xr:uid="{00000000-0005-0000-0000-0000F8010000}"/>
    <cellStyle name="Normal 35 4" xfId="497" xr:uid="{00000000-0005-0000-0000-0000F9010000}"/>
    <cellStyle name="Normal 35 4 2" xfId="498" xr:uid="{00000000-0005-0000-0000-0000FA010000}"/>
    <cellStyle name="Normal 35 5" xfId="499" xr:uid="{00000000-0005-0000-0000-0000FB010000}"/>
    <cellStyle name="Normal 36" xfId="500" xr:uid="{00000000-0005-0000-0000-0000FC010000}"/>
    <cellStyle name="Normal 36 2" xfId="501" xr:uid="{00000000-0005-0000-0000-0000FD010000}"/>
    <cellStyle name="Normal 36 2 2" xfId="502" xr:uid="{00000000-0005-0000-0000-0000FE010000}"/>
    <cellStyle name="Normal 36 2 2 2" xfId="503" xr:uid="{00000000-0005-0000-0000-0000FF010000}"/>
    <cellStyle name="Normal 36 2 3" xfId="504" xr:uid="{00000000-0005-0000-0000-000000020000}"/>
    <cellStyle name="Normal 36 3" xfId="505" xr:uid="{00000000-0005-0000-0000-000001020000}"/>
    <cellStyle name="Normal 36 3 2" xfId="506" xr:uid="{00000000-0005-0000-0000-000002020000}"/>
    <cellStyle name="Normal 36 3 2 2" xfId="507" xr:uid="{00000000-0005-0000-0000-000003020000}"/>
    <cellStyle name="Normal 36 3 3" xfId="508" xr:uid="{00000000-0005-0000-0000-000004020000}"/>
    <cellStyle name="Normal 36 4" xfId="509" xr:uid="{00000000-0005-0000-0000-000005020000}"/>
    <cellStyle name="Normal 36 4 2" xfId="510" xr:uid="{00000000-0005-0000-0000-000006020000}"/>
    <cellStyle name="Normal 36 5" xfId="511" xr:uid="{00000000-0005-0000-0000-000007020000}"/>
    <cellStyle name="Normal 37" xfId="512" xr:uid="{00000000-0005-0000-0000-000008020000}"/>
    <cellStyle name="Normal 37 2" xfId="513" xr:uid="{00000000-0005-0000-0000-000009020000}"/>
    <cellStyle name="Normal 37 2 2" xfId="514" xr:uid="{00000000-0005-0000-0000-00000A020000}"/>
    <cellStyle name="Normal 37 2 2 2" xfId="515" xr:uid="{00000000-0005-0000-0000-00000B020000}"/>
    <cellStyle name="Normal 37 2 3" xfId="516" xr:uid="{00000000-0005-0000-0000-00000C020000}"/>
    <cellStyle name="Normal 37 3" xfId="517" xr:uid="{00000000-0005-0000-0000-00000D020000}"/>
    <cellStyle name="Normal 37 3 2" xfId="518" xr:uid="{00000000-0005-0000-0000-00000E020000}"/>
    <cellStyle name="Normal 37 3 2 2" xfId="519" xr:uid="{00000000-0005-0000-0000-00000F020000}"/>
    <cellStyle name="Normal 37 3 3" xfId="520" xr:uid="{00000000-0005-0000-0000-000010020000}"/>
    <cellStyle name="Normal 37 4" xfId="521" xr:uid="{00000000-0005-0000-0000-000011020000}"/>
    <cellStyle name="Normal 37 4 2" xfId="522" xr:uid="{00000000-0005-0000-0000-000012020000}"/>
    <cellStyle name="Normal 37 5" xfId="523" xr:uid="{00000000-0005-0000-0000-000013020000}"/>
    <cellStyle name="Normal 38" xfId="524" xr:uid="{00000000-0005-0000-0000-000014020000}"/>
    <cellStyle name="Normal 38 2" xfId="525" xr:uid="{00000000-0005-0000-0000-000015020000}"/>
    <cellStyle name="Normal 38 2 2" xfId="526" xr:uid="{00000000-0005-0000-0000-000016020000}"/>
    <cellStyle name="Normal 38 2 2 2" xfId="527" xr:uid="{00000000-0005-0000-0000-000017020000}"/>
    <cellStyle name="Normal 38 2 3" xfId="528" xr:uid="{00000000-0005-0000-0000-000018020000}"/>
    <cellStyle name="Normal 38 3" xfId="529" xr:uid="{00000000-0005-0000-0000-000019020000}"/>
    <cellStyle name="Normal 38 3 2" xfId="530" xr:uid="{00000000-0005-0000-0000-00001A020000}"/>
    <cellStyle name="Normal 38 3 2 2" xfId="531" xr:uid="{00000000-0005-0000-0000-00001B020000}"/>
    <cellStyle name="Normal 38 3 3" xfId="532" xr:uid="{00000000-0005-0000-0000-00001C020000}"/>
    <cellStyle name="Normal 38 4" xfId="533" xr:uid="{00000000-0005-0000-0000-00001D020000}"/>
    <cellStyle name="Normal 38 4 2" xfId="534" xr:uid="{00000000-0005-0000-0000-00001E020000}"/>
    <cellStyle name="Normal 38 5" xfId="535" xr:uid="{00000000-0005-0000-0000-00001F020000}"/>
    <cellStyle name="Normal 39" xfId="536" xr:uid="{00000000-0005-0000-0000-000020020000}"/>
    <cellStyle name="Normal 39 2" xfId="537" xr:uid="{00000000-0005-0000-0000-000021020000}"/>
    <cellStyle name="Normal 39 2 2" xfId="538" xr:uid="{00000000-0005-0000-0000-000022020000}"/>
    <cellStyle name="Normal 39 2 2 2" xfId="539" xr:uid="{00000000-0005-0000-0000-000023020000}"/>
    <cellStyle name="Normal 39 2 3" xfId="540" xr:uid="{00000000-0005-0000-0000-000024020000}"/>
    <cellStyle name="Normal 39 3" xfId="541" xr:uid="{00000000-0005-0000-0000-000025020000}"/>
    <cellStyle name="Normal 39 3 2" xfId="542" xr:uid="{00000000-0005-0000-0000-000026020000}"/>
    <cellStyle name="Normal 39 3 2 2" xfId="543" xr:uid="{00000000-0005-0000-0000-000027020000}"/>
    <cellStyle name="Normal 39 3 3" xfId="544" xr:uid="{00000000-0005-0000-0000-000028020000}"/>
    <cellStyle name="Normal 39 4" xfId="545" xr:uid="{00000000-0005-0000-0000-000029020000}"/>
    <cellStyle name="Normal 39 4 2" xfId="546" xr:uid="{00000000-0005-0000-0000-00002A020000}"/>
    <cellStyle name="Normal 39 5" xfId="547" xr:uid="{00000000-0005-0000-0000-00002B020000}"/>
    <cellStyle name="Normal 4" xfId="548" xr:uid="{00000000-0005-0000-0000-00002C020000}"/>
    <cellStyle name="Normal 4 2" xfId="549" xr:uid="{00000000-0005-0000-0000-00002D020000}"/>
    <cellStyle name="Normal 4 2 2" xfId="550" xr:uid="{00000000-0005-0000-0000-00002E020000}"/>
    <cellStyle name="Normal 4 2 2 2" xfId="551" xr:uid="{00000000-0005-0000-0000-00002F020000}"/>
    <cellStyle name="Normal 4 2 3" xfId="552" xr:uid="{00000000-0005-0000-0000-000030020000}"/>
    <cellStyle name="Normal 4 3" xfId="553" xr:uid="{00000000-0005-0000-0000-000031020000}"/>
    <cellStyle name="Normal 4 3 2" xfId="554" xr:uid="{00000000-0005-0000-0000-000032020000}"/>
    <cellStyle name="Normal 4 3 2 2" xfId="555" xr:uid="{00000000-0005-0000-0000-000033020000}"/>
    <cellStyle name="Normal 4 3 3" xfId="556" xr:uid="{00000000-0005-0000-0000-000034020000}"/>
    <cellStyle name="Normal 4 4" xfId="557" xr:uid="{00000000-0005-0000-0000-000035020000}"/>
    <cellStyle name="Normal 4 4 2" xfId="558" xr:uid="{00000000-0005-0000-0000-000036020000}"/>
    <cellStyle name="Normal 4 5" xfId="559" xr:uid="{00000000-0005-0000-0000-000037020000}"/>
    <cellStyle name="Normal 40" xfId="560" xr:uid="{00000000-0005-0000-0000-000038020000}"/>
    <cellStyle name="Normal 40 2" xfId="561" xr:uid="{00000000-0005-0000-0000-000039020000}"/>
    <cellStyle name="Normal 40 2 2" xfId="562" xr:uid="{00000000-0005-0000-0000-00003A020000}"/>
    <cellStyle name="Normal 40 2 2 2" xfId="563" xr:uid="{00000000-0005-0000-0000-00003B020000}"/>
    <cellStyle name="Normal 40 2 3" xfId="564" xr:uid="{00000000-0005-0000-0000-00003C020000}"/>
    <cellStyle name="Normal 40 3" xfId="565" xr:uid="{00000000-0005-0000-0000-00003D020000}"/>
    <cellStyle name="Normal 40 3 2" xfId="566" xr:uid="{00000000-0005-0000-0000-00003E020000}"/>
    <cellStyle name="Normal 40 3 2 2" xfId="567" xr:uid="{00000000-0005-0000-0000-00003F020000}"/>
    <cellStyle name="Normal 40 3 3" xfId="568" xr:uid="{00000000-0005-0000-0000-000040020000}"/>
    <cellStyle name="Normal 40 4" xfId="569" xr:uid="{00000000-0005-0000-0000-000041020000}"/>
    <cellStyle name="Normal 40 4 2" xfId="570" xr:uid="{00000000-0005-0000-0000-000042020000}"/>
    <cellStyle name="Normal 40 5" xfId="571" xr:uid="{00000000-0005-0000-0000-000043020000}"/>
    <cellStyle name="Normal 41" xfId="572" xr:uid="{00000000-0005-0000-0000-000044020000}"/>
    <cellStyle name="Normal 41 2" xfId="573" xr:uid="{00000000-0005-0000-0000-000045020000}"/>
    <cellStyle name="Normal 41 2 2" xfId="574" xr:uid="{00000000-0005-0000-0000-000046020000}"/>
    <cellStyle name="Normal 41 2 2 2" xfId="575" xr:uid="{00000000-0005-0000-0000-000047020000}"/>
    <cellStyle name="Normal 41 2 3" xfId="576" xr:uid="{00000000-0005-0000-0000-000048020000}"/>
    <cellStyle name="Normal 41 3" xfId="577" xr:uid="{00000000-0005-0000-0000-000049020000}"/>
    <cellStyle name="Normal 41 3 2" xfId="578" xr:uid="{00000000-0005-0000-0000-00004A020000}"/>
    <cellStyle name="Normal 41 3 2 2" xfId="579" xr:uid="{00000000-0005-0000-0000-00004B020000}"/>
    <cellStyle name="Normal 41 3 3" xfId="580" xr:uid="{00000000-0005-0000-0000-00004C020000}"/>
    <cellStyle name="Normal 41 4" xfId="581" xr:uid="{00000000-0005-0000-0000-00004D020000}"/>
    <cellStyle name="Normal 41 4 2" xfId="582" xr:uid="{00000000-0005-0000-0000-00004E020000}"/>
    <cellStyle name="Normal 41 5" xfId="583" xr:uid="{00000000-0005-0000-0000-00004F020000}"/>
    <cellStyle name="Normal 42" xfId="584" xr:uid="{00000000-0005-0000-0000-000050020000}"/>
    <cellStyle name="Normal 42 2" xfId="585" xr:uid="{00000000-0005-0000-0000-000051020000}"/>
    <cellStyle name="Normal 42 2 2" xfId="586" xr:uid="{00000000-0005-0000-0000-000052020000}"/>
    <cellStyle name="Normal 42 2 2 2" xfId="587" xr:uid="{00000000-0005-0000-0000-000053020000}"/>
    <cellStyle name="Normal 42 2 3" xfId="588" xr:uid="{00000000-0005-0000-0000-000054020000}"/>
    <cellStyle name="Normal 42 3" xfId="589" xr:uid="{00000000-0005-0000-0000-000055020000}"/>
    <cellStyle name="Normal 42 3 2" xfId="590" xr:uid="{00000000-0005-0000-0000-000056020000}"/>
    <cellStyle name="Normal 42 3 2 2" xfId="591" xr:uid="{00000000-0005-0000-0000-000057020000}"/>
    <cellStyle name="Normal 42 3 3" xfId="592" xr:uid="{00000000-0005-0000-0000-000058020000}"/>
    <cellStyle name="Normal 42 4" xfId="593" xr:uid="{00000000-0005-0000-0000-000059020000}"/>
    <cellStyle name="Normal 42 4 2" xfId="594" xr:uid="{00000000-0005-0000-0000-00005A020000}"/>
    <cellStyle name="Normal 42 5" xfId="595" xr:uid="{00000000-0005-0000-0000-00005B020000}"/>
    <cellStyle name="Normal 43" xfId="596" xr:uid="{00000000-0005-0000-0000-00005C020000}"/>
    <cellStyle name="Normal 43 2" xfId="597" xr:uid="{00000000-0005-0000-0000-00005D020000}"/>
    <cellStyle name="Normal 43 2 2" xfId="598" xr:uid="{00000000-0005-0000-0000-00005E020000}"/>
    <cellStyle name="Normal 43 2 2 2" xfId="599" xr:uid="{00000000-0005-0000-0000-00005F020000}"/>
    <cellStyle name="Normal 43 2 3" xfId="600" xr:uid="{00000000-0005-0000-0000-000060020000}"/>
    <cellStyle name="Normal 43 3" xfId="601" xr:uid="{00000000-0005-0000-0000-000061020000}"/>
    <cellStyle name="Normal 43 3 2" xfId="602" xr:uid="{00000000-0005-0000-0000-000062020000}"/>
    <cellStyle name="Normal 43 3 2 2" xfId="603" xr:uid="{00000000-0005-0000-0000-000063020000}"/>
    <cellStyle name="Normal 43 3 3" xfId="604" xr:uid="{00000000-0005-0000-0000-000064020000}"/>
    <cellStyle name="Normal 43 4" xfId="605" xr:uid="{00000000-0005-0000-0000-000065020000}"/>
    <cellStyle name="Normal 43 4 2" xfId="606" xr:uid="{00000000-0005-0000-0000-000066020000}"/>
    <cellStyle name="Normal 43 5" xfId="607" xr:uid="{00000000-0005-0000-0000-000067020000}"/>
    <cellStyle name="Normal 44" xfId="608" xr:uid="{00000000-0005-0000-0000-000068020000}"/>
    <cellStyle name="Normal 44 2" xfId="609" xr:uid="{00000000-0005-0000-0000-000069020000}"/>
    <cellStyle name="Normal 44 2 2" xfId="610" xr:uid="{00000000-0005-0000-0000-00006A020000}"/>
    <cellStyle name="Normal 44 2 2 2" xfId="611" xr:uid="{00000000-0005-0000-0000-00006B020000}"/>
    <cellStyle name="Normal 44 2 3" xfId="612" xr:uid="{00000000-0005-0000-0000-00006C020000}"/>
    <cellStyle name="Normal 44 3" xfId="613" xr:uid="{00000000-0005-0000-0000-00006D020000}"/>
    <cellStyle name="Normal 44 3 2" xfId="614" xr:uid="{00000000-0005-0000-0000-00006E020000}"/>
    <cellStyle name="Normal 44 3 2 2" xfId="615" xr:uid="{00000000-0005-0000-0000-00006F020000}"/>
    <cellStyle name="Normal 44 3 3" xfId="616" xr:uid="{00000000-0005-0000-0000-000070020000}"/>
    <cellStyle name="Normal 44 4" xfId="617" xr:uid="{00000000-0005-0000-0000-000071020000}"/>
    <cellStyle name="Normal 44 4 2" xfId="618" xr:uid="{00000000-0005-0000-0000-000072020000}"/>
    <cellStyle name="Normal 44 5" xfId="619" xr:uid="{00000000-0005-0000-0000-000073020000}"/>
    <cellStyle name="Normal 45" xfId="620" xr:uid="{00000000-0005-0000-0000-000074020000}"/>
    <cellStyle name="Normal 45 2" xfId="621" xr:uid="{00000000-0005-0000-0000-000075020000}"/>
    <cellStyle name="Normal 45 2 2" xfId="622" xr:uid="{00000000-0005-0000-0000-000076020000}"/>
    <cellStyle name="Normal 45 2 2 2" xfId="623" xr:uid="{00000000-0005-0000-0000-000077020000}"/>
    <cellStyle name="Normal 45 2 3" xfId="624" xr:uid="{00000000-0005-0000-0000-000078020000}"/>
    <cellStyle name="Normal 45 3" xfId="625" xr:uid="{00000000-0005-0000-0000-000079020000}"/>
    <cellStyle name="Normal 45 3 2" xfId="626" xr:uid="{00000000-0005-0000-0000-00007A020000}"/>
    <cellStyle name="Normal 45 3 2 2" xfId="627" xr:uid="{00000000-0005-0000-0000-00007B020000}"/>
    <cellStyle name="Normal 45 3 3" xfId="628" xr:uid="{00000000-0005-0000-0000-00007C020000}"/>
    <cellStyle name="Normal 45 4" xfId="629" xr:uid="{00000000-0005-0000-0000-00007D020000}"/>
    <cellStyle name="Normal 45 4 2" xfId="630" xr:uid="{00000000-0005-0000-0000-00007E020000}"/>
    <cellStyle name="Normal 45 5" xfId="631" xr:uid="{00000000-0005-0000-0000-00007F020000}"/>
    <cellStyle name="Normal 46" xfId="632" xr:uid="{00000000-0005-0000-0000-000080020000}"/>
    <cellStyle name="Normal 46 2" xfId="633" xr:uid="{00000000-0005-0000-0000-000081020000}"/>
    <cellStyle name="Normal 46 2 2" xfId="634" xr:uid="{00000000-0005-0000-0000-000082020000}"/>
    <cellStyle name="Normal 46 2 2 2" xfId="635" xr:uid="{00000000-0005-0000-0000-000083020000}"/>
    <cellStyle name="Normal 46 2 3" xfId="636" xr:uid="{00000000-0005-0000-0000-000084020000}"/>
    <cellStyle name="Normal 46 3" xfId="637" xr:uid="{00000000-0005-0000-0000-000085020000}"/>
    <cellStyle name="Normal 46 3 2" xfId="638" xr:uid="{00000000-0005-0000-0000-000086020000}"/>
    <cellStyle name="Normal 46 3 2 2" xfId="639" xr:uid="{00000000-0005-0000-0000-000087020000}"/>
    <cellStyle name="Normal 46 3 3" xfId="640" xr:uid="{00000000-0005-0000-0000-000088020000}"/>
    <cellStyle name="Normal 46 4" xfId="641" xr:uid="{00000000-0005-0000-0000-000089020000}"/>
    <cellStyle name="Normal 46 4 2" xfId="642" xr:uid="{00000000-0005-0000-0000-00008A020000}"/>
    <cellStyle name="Normal 46 5" xfId="643" xr:uid="{00000000-0005-0000-0000-00008B020000}"/>
    <cellStyle name="Normal 47" xfId="644" xr:uid="{00000000-0005-0000-0000-00008C020000}"/>
    <cellStyle name="Normal 47 2" xfId="645" xr:uid="{00000000-0005-0000-0000-00008D020000}"/>
    <cellStyle name="Normal 47 2 2" xfId="646" xr:uid="{00000000-0005-0000-0000-00008E020000}"/>
    <cellStyle name="Normal 47 2 2 2" xfId="647" xr:uid="{00000000-0005-0000-0000-00008F020000}"/>
    <cellStyle name="Normal 47 2 3" xfId="648" xr:uid="{00000000-0005-0000-0000-000090020000}"/>
    <cellStyle name="Normal 47 3" xfId="649" xr:uid="{00000000-0005-0000-0000-000091020000}"/>
    <cellStyle name="Normal 47 3 2" xfId="650" xr:uid="{00000000-0005-0000-0000-000092020000}"/>
    <cellStyle name="Normal 47 3 2 2" xfId="651" xr:uid="{00000000-0005-0000-0000-000093020000}"/>
    <cellStyle name="Normal 47 3 3" xfId="652" xr:uid="{00000000-0005-0000-0000-000094020000}"/>
    <cellStyle name="Normal 47 4" xfId="653" xr:uid="{00000000-0005-0000-0000-000095020000}"/>
    <cellStyle name="Normal 47 4 2" xfId="654" xr:uid="{00000000-0005-0000-0000-000096020000}"/>
    <cellStyle name="Normal 47 5" xfId="655" xr:uid="{00000000-0005-0000-0000-000097020000}"/>
    <cellStyle name="Normal 48" xfId="656" xr:uid="{00000000-0005-0000-0000-000098020000}"/>
    <cellStyle name="Normal 48 2" xfId="657" xr:uid="{00000000-0005-0000-0000-000099020000}"/>
    <cellStyle name="Normal 48 2 2" xfId="658" xr:uid="{00000000-0005-0000-0000-00009A020000}"/>
    <cellStyle name="Normal 48 2 2 2" xfId="659" xr:uid="{00000000-0005-0000-0000-00009B020000}"/>
    <cellStyle name="Normal 48 2 3" xfId="660" xr:uid="{00000000-0005-0000-0000-00009C020000}"/>
    <cellStyle name="Normal 48 3" xfId="661" xr:uid="{00000000-0005-0000-0000-00009D020000}"/>
    <cellStyle name="Normal 48 3 2" xfId="662" xr:uid="{00000000-0005-0000-0000-00009E020000}"/>
    <cellStyle name="Normal 48 3 2 2" xfId="663" xr:uid="{00000000-0005-0000-0000-00009F020000}"/>
    <cellStyle name="Normal 48 3 3" xfId="664" xr:uid="{00000000-0005-0000-0000-0000A0020000}"/>
    <cellStyle name="Normal 48 4" xfId="665" xr:uid="{00000000-0005-0000-0000-0000A1020000}"/>
    <cellStyle name="Normal 48 4 2" xfId="666" xr:uid="{00000000-0005-0000-0000-0000A2020000}"/>
    <cellStyle name="Normal 48 5" xfId="667" xr:uid="{00000000-0005-0000-0000-0000A3020000}"/>
    <cellStyle name="Normal 49" xfId="668" xr:uid="{00000000-0005-0000-0000-0000A4020000}"/>
    <cellStyle name="Normal 49 2" xfId="669" xr:uid="{00000000-0005-0000-0000-0000A5020000}"/>
    <cellStyle name="Normal 49 2 2" xfId="670" xr:uid="{00000000-0005-0000-0000-0000A6020000}"/>
    <cellStyle name="Normal 49 2 2 2" xfId="671" xr:uid="{00000000-0005-0000-0000-0000A7020000}"/>
    <cellStyle name="Normal 49 2 3" xfId="672" xr:uid="{00000000-0005-0000-0000-0000A8020000}"/>
    <cellStyle name="Normal 49 3" xfId="673" xr:uid="{00000000-0005-0000-0000-0000A9020000}"/>
    <cellStyle name="Normal 49 3 2" xfId="674" xr:uid="{00000000-0005-0000-0000-0000AA020000}"/>
    <cellStyle name="Normal 49 3 2 2" xfId="675" xr:uid="{00000000-0005-0000-0000-0000AB020000}"/>
    <cellStyle name="Normal 49 3 3" xfId="676" xr:uid="{00000000-0005-0000-0000-0000AC020000}"/>
    <cellStyle name="Normal 49 4" xfId="677" xr:uid="{00000000-0005-0000-0000-0000AD020000}"/>
    <cellStyle name="Normal 49 4 2" xfId="678" xr:uid="{00000000-0005-0000-0000-0000AE020000}"/>
    <cellStyle name="Normal 49 5" xfId="679" xr:uid="{00000000-0005-0000-0000-0000AF020000}"/>
    <cellStyle name="Normal 5" xfId="680" xr:uid="{00000000-0005-0000-0000-0000B0020000}"/>
    <cellStyle name="Normal 5 2" xfId="681" xr:uid="{00000000-0005-0000-0000-0000B1020000}"/>
    <cellStyle name="Normal 5 2 2" xfId="682" xr:uid="{00000000-0005-0000-0000-0000B2020000}"/>
    <cellStyle name="Normal 5 2 2 2" xfId="683" xr:uid="{00000000-0005-0000-0000-0000B3020000}"/>
    <cellStyle name="Normal 5 2 3" xfId="684" xr:uid="{00000000-0005-0000-0000-0000B4020000}"/>
    <cellStyle name="Normal 5 3" xfId="685" xr:uid="{00000000-0005-0000-0000-0000B5020000}"/>
    <cellStyle name="Normal 5 3 2" xfId="686" xr:uid="{00000000-0005-0000-0000-0000B6020000}"/>
    <cellStyle name="Normal 5 3 2 2" xfId="687" xr:uid="{00000000-0005-0000-0000-0000B7020000}"/>
    <cellStyle name="Normal 5 3 3" xfId="688" xr:uid="{00000000-0005-0000-0000-0000B8020000}"/>
    <cellStyle name="Normal 5 4" xfId="689" xr:uid="{00000000-0005-0000-0000-0000B9020000}"/>
    <cellStyle name="Normal 5 4 2" xfId="690" xr:uid="{00000000-0005-0000-0000-0000BA020000}"/>
    <cellStyle name="Normal 5 5" xfId="691" xr:uid="{00000000-0005-0000-0000-0000BB020000}"/>
    <cellStyle name="Normal 50" xfId="692" xr:uid="{00000000-0005-0000-0000-0000BC020000}"/>
    <cellStyle name="Normal 50 2" xfId="693" xr:uid="{00000000-0005-0000-0000-0000BD020000}"/>
    <cellStyle name="Normal 50 2 2" xfId="694" xr:uid="{00000000-0005-0000-0000-0000BE020000}"/>
    <cellStyle name="Normal 50 2 2 2" xfId="695" xr:uid="{00000000-0005-0000-0000-0000BF020000}"/>
    <cellStyle name="Normal 50 2 3" xfId="696" xr:uid="{00000000-0005-0000-0000-0000C0020000}"/>
    <cellStyle name="Normal 50 3" xfId="697" xr:uid="{00000000-0005-0000-0000-0000C1020000}"/>
    <cellStyle name="Normal 50 3 2" xfId="698" xr:uid="{00000000-0005-0000-0000-0000C2020000}"/>
    <cellStyle name="Normal 50 3 2 2" xfId="699" xr:uid="{00000000-0005-0000-0000-0000C3020000}"/>
    <cellStyle name="Normal 50 3 3" xfId="700" xr:uid="{00000000-0005-0000-0000-0000C4020000}"/>
    <cellStyle name="Normal 50 4" xfId="701" xr:uid="{00000000-0005-0000-0000-0000C5020000}"/>
    <cellStyle name="Normal 50 4 2" xfId="702" xr:uid="{00000000-0005-0000-0000-0000C6020000}"/>
    <cellStyle name="Normal 50 5" xfId="703" xr:uid="{00000000-0005-0000-0000-0000C7020000}"/>
    <cellStyle name="Normal 51" xfId="704" xr:uid="{00000000-0005-0000-0000-0000C8020000}"/>
    <cellStyle name="Normal 51 2" xfId="705" xr:uid="{00000000-0005-0000-0000-0000C9020000}"/>
    <cellStyle name="Normal 51 2 2" xfId="706" xr:uid="{00000000-0005-0000-0000-0000CA020000}"/>
    <cellStyle name="Normal 51 2 2 2" xfId="707" xr:uid="{00000000-0005-0000-0000-0000CB020000}"/>
    <cellStyle name="Normal 51 2 3" xfId="708" xr:uid="{00000000-0005-0000-0000-0000CC020000}"/>
    <cellStyle name="Normal 51 3" xfId="709" xr:uid="{00000000-0005-0000-0000-0000CD020000}"/>
    <cellStyle name="Normal 51 3 2" xfId="710" xr:uid="{00000000-0005-0000-0000-0000CE020000}"/>
    <cellStyle name="Normal 51 3 2 2" xfId="711" xr:uid="{00000000-0005-0000-0000-0000CF020000}"/>
    <cellStyle name="Normal 51 3 3" xfId="712" xr:uid="{00000000-0005-0000-0000-0000D0020000}"/>
    <cellStyle name="Normal 51 4" xfId="713" xr:uid="{00000000-0005-0000-0000-0000D1020000}"/>
    <cellStyle name="Normal 51 4 2" xfId="714" xr:uid="{00000000-0005-0000-0000-0000D2020000}"/>
    <cellStyle name="Normal 51 5" xfId="715" xr:uid="{00000000-0005-0000-0000-0000D3020000}"/>
    <cellStyle name="Normal 52" xfId="716" xr:uid="{00000000-0005-0000-0000-0000D4020000}"/>
    <cellStyle name="Normal 52 2" xfId="717" xr:uid="{00000000-0005-0000-0000-0000D5020000}"/>
    <cellStyle name="Normal 52 2 2" xfId="718" xr:uid="{00000000-0005-0000-0000-0000D6020000}"/>
    <cellStyle name="Normal 52 2 2 2" xfId="719" xr:uid="{00000000-0005-0000-0000-0000D7020000}"/>
    <cellStyle name="Normal 52 2 3" xfId="720" xr:uid="{00000000-0005-0000-0000-0000D8020000}"/>
    <cellStyle name="Normal 52 3" xfId="721" xr:uid="{00000000-0005-0000-0000-0000D9020000}"/>
    <cellStyle name="Normal 52 3 2" xfId="722" xr:uid="{00000000-0005-0000-0000-0000DA020000}"/>
    <cellStyle name="Normal 52 3 2 2" xfId="723" xr:uid="{00000000-0005-0000-0000-0000DB020000}"/>
    <cellStyle name="Normal 52 3 3" xfId="724" xr:uid="{00000000-0005-0000-0000-0000DC020000}"/>
    <cellStyle name="Normal 52 4" xfId="725" xr:uid="{00000000-0005-0000-0000-0000DD020000}"/>
    <cellStyle name="Normal 52 4 2" xfId="726" xr:uid="{00000000-0005-0000-0000-0000DE020000}"/>
    <cellStyle name="Normal 52 5" xfId="727" xr:uid="{00000000-0005-0000-0000-0000DF020000}"/>
    <cellStyle name="Normal 53" xfId="728" xr:uid="{00000000-0005-0000-0000-0000E0020000}"/>
    <cellStyle name="Normal 53 2" xfId="729" xr:uid="{00000000-0005-0000-0000-0000E1020000}"/>
    <cellStyle name="Normal 53 2 2" xfId="730" xr:uid="{00000000-0005-0000-0000-0000E2020000}"/>
    <cellStyle name="Normal 53 2 2 2" xfId="731" xr:uid="{00000000-0005-0000-0000-0000E3020000}"/>
    <cellStyle name="Normal 53 2 3" xfId="732" xr:uid="{00000000-0005-0000-0000-0000E4020000}"/>
    <cellStyle name="Normal 53 3" xfId="733" xr:uid="{00000000-0005-0000-0000-0000E5020000}"/>
    <cellStyle name="Normal 53 3 2" xfId="734" xr:uid="{00000000-0005-0000-0000-0000E6020000}"/>
    <cellStyle name="Normal 53 3 2 2" xfId="735" xr:uid="{00000000-0005-0000-0000-0000E7020000}"/>
    <cellStyle name="Normal 53 3 3" xfId="736" xr:uid="{00000000-0005-0000-0000-0000E8020000}"/>
    <cellStyle name="Normal 53 4" xfId="737" xr:uid="{00000000-0005-0000-0000-0000E9020000}"/>
    <cellStyle name="Normal 53 4 2" xfId="738" xr:uid="{00000000-0005-0000-0000-0000EA020000}"/>
    <cellStyle name="Normal 53 5" xfId="739" xr:uid="{00000000-0005-0000-0000-0000EB020000}"/>
    <cellStyle name="Normal 54" xfId="740" xr:uid="{00000000-0005-0000-0000-0000EC020000}"/>
    <cellStyle name="Normal 54 2" xfId="741" xr:uid="{00000000-0005-0000-0000-0000ED020000}"/>
    <cellStyle name="Normal 54 2 2" xfId="742" xr:uid="{00000000-0005-0000-0000-0000EE020000}"/>
    <cellStyle name="Normal 54 2 2 2" xfId="743" xr:uid="{00000000-0005-0000-0000-0000EF020000}"/>
    <cellStyle name="Normal 54 2 3" xfId="744" xr:uid="{00000000-0005-0000-0000-0000F0020000}"/>
    <cellStyle name="Normal 54 3" xfId="745" xr:uid="{00000000-0005-0000-0000-0000F1020000}"/>
    <cellStyle name="Normal 54 3 2" xfId="746" xr:uid="{00000000-0005-0000-0000-0000F2020000}"/>
    <cellStyle name="Normal 54 3 2 2" xfId="747" xr:uid="{00000000-0005-0000-0000-0000F3020000}"/>
    <cellStyle name="Normal 54 3 3" xfId="748" xr:uid="{00000000-0005-0000-0000-0000F4020000}"/>
    <cellStyle name="Normal 54 4" xfId="749" xr:uid="{00000000-0005-0000-0000-0000F5020000}"/>
    <cellStyle name="Normal 54 4 2" xfId="750" xr:uid="{00000000-0005-0000-0000-0000F6020000}"/>
    <cellStyle name="Normal 54 5" xfId="751" xr:uid="{00000000-0005-0000-0000-0000F7020000}"/>
    <cellStyle name="Normal 55" xfId="752" xr:uid="{00000000-0005-0000-0000-0000F8020000}"/>
    <cellStyle name="Normal 55 2" xfId="753" xr:uid="{00000000-0005-0000-0000-0000F9020000}"/>
    <cellStyle name="Normal 55 2 2" xfId="754" xr:uid="{00000000-0005-0000-0000-0000FA020000}"/>
    <cellStyle name="Normal 55 2 2 2" xfId="755" xr:uid="{00000000-0005-0000-0000-0000FB020000}"/>
    <cellStyle name="Normal 55 2 3" xfId="756" xr:uid="{00000000-0005-0000-0000-0000FC020000}"/>
    <cellStyle name="Normal 55 3" xfId="757" xr:uid="{00000000-0005-0000-0000-0000FD020000}"/>
    <cellStyle name="Normal 55 3 2" xfId="758" xr:uid="{00000000-0005-0000-0000-0000FE020000}"/>
    <cellStyle name="Normal 55 3 2 2" xfId="759" xr:uid="{00000000-0005-0000-0000-0000FF020000}"/>
    <cellStyle name="Normal 55 3 3" xfId="760" xr:uid="{00000000-0005-0000-0000-000000030000}"/>
    <cellStyle name="Normal 55 4" xfId="761" xr:uid="{00000000-0005-0000-0000-000001030000}"/>
    <cellStyle name="Normal 55 4 2" xfId="762" xr:uid="{00000000-0005-0000-0000-000002030000}"/>
    <cellStyle name="Normal 55 5" xfId="763" xr:uid="{00000000-0005-0000-0000-000003030000}"/>
    <cellStyle name="Normal 56" xfId="764" xr:uid="{00000000-0005-0000-0000-000004030000}"/>
    <cellStyle name="Normal 56 2" xfId="765" xr:uid="{00000000-0005-0000-0000-000005030000}"/>
    <cellStyle name="Normal 56 2 2" xfId="766" xr:uid="{00000000-0005-0000-0000-000006030000}"/>
    <cellStyle name="Normal 56 2 2 2" xfId="767" xr:uid="{00000000-0005-0000-0000-000007030000}"/>
    <cellStyle name="Normal 56 2 3" xfId="768" xr:uid="{00000000-0005-0000-0000-000008030000}"/>
    <cellStyle name="Normal 56 3" xfId="769" xr:uid="{00000000-0005-0000-0000-000009030000}"/>
    <cellStyle name="Normal 56 3 2" xfId="770" xr:uid="{00000000-0005-0000-0000-00000A030000}"/>
    <cellStyle name="Normal 56 3 2 2" xfId="771" xr:uid="{00000000-0005-0000-0000-00000B030000}"/>
    <cellStyle name="Normal 56 3 3" xfId="772" xr:uid="{00000000-0005-0000-0000-00000C030000}"/>
    <cellStyle name="Normal 56 4" xfId="773" xr:uid="{00000000-0005-0000-0000-00000D030000}"/>
    <cellStyle name="Normal 56 4 2" xfId="774" xr:uid="{00000000-0005-0000-0000-00000E030000}"/>
    <cellStyle name="Normal 56 5" xfId="775" xr:uid="{00000000-0005-0000-0000-00000F030000}"/>
    <cellStyle name="Normal 57" xfId="776" xr:uid="{00000000-0005-0000-0000-000010030000}"/>
    <cellStyle name="Normal 57 2" xfId="777" xr:uid="{00000000-0005-0000-0000-000011030000}"/>
    <cellStyle name="Normal 57 2 2" xfId="778" xr:uid="{00000000-0005-0000-0000-000012030000}"/>
    <cellStyle name="Normal 57 2 2 2" xfId="779" xr:uid="{00000000-0005-0000-0000-000013030000}"/>
    <cellStyle name="Normal 57 2 3" xfId="780" xr:uid="{00000000-0005-0000-0000-000014030000}"/>
    <cellStyle name="Normal 57 3" xfId="781" xr:uid="{00000000-0005-0000-0000-000015030000}"/>
    <cellStyle name="Normal 57 3 2" xfId="782" xr:uid="{00000000-0005-0000-0000-000016030000}"/>
    <cellStyle name="Normal 57 3 2 2" xfId="783" xr:uid="{00000000-0005-0000-0000-000017030000}"/>
    <cellStyle name="Normal 57 3 3" xfId="784" xr:uid="{00000000-0005-0000-0000-000018030000}"/>
    <cellStyle name="Normal 57 4" xfId="785" xr:uid="{00000000-0005-0000-0000-000019030000}"/>
    <cellStyle name="Normal 57 4 2" xfId="786" xr:uid="{00000000-0005-0000-0000-00001A030000}"/>
    <cellStyle name="Normal 57 5" xfId="787" xr:uid="{00000000-0005-0000-0000-00001B030000}"/>
    <cellStyle name="Normal 58" xfId="788" xr:uid="{00000000-0005-0000-0000-00001C030000}"/>
    <cellStyle name="Normal 58 2" xfId="789" xr:uid="{00000000-0005-0000-0000-00001D030000}"/>
    <cellStyle name="Normal 58 2 2" xfId="790" xr:uid="{00000000-0005-0000-0000-00001E030000}"/>
    <cellStyle name="Normal 58 2 2 2" xfId="791" xr:uid="{00000000-0005-0000-0000-00001F030000}"/>
    <cellStyle name="Normal 58 2 3" xfId="792" xr:uid="{00000000-0005-0000-0000-000020030000}"/>
    <cellStyle name="Normal 58 3" xfId="793" xr:uid="{00000000-0005-0000-0000-000021030000}"/>
    <cellStyle name="Normal 58 3 2" xfId="794" xr:uid="{00000000-0005-0000-0000-000022030000}"/>
    <cellStyle name="Normal 58 3 2 2" xfId="795" xr:uid="{00000000-0005-0000-0000-000023030000}"/>
    <cellStyle name="Normal 58 3 3" xfId="796" xr:uid="{00000000-0005-0000-0000-000024030000}"/>
    <cellStyle name="Normal 58 4" xfId="797" xr:uid="{00000000-0005-0000-0000-000025030000}"/>
    <cellStyle name="Normal 58 4 2" xfId="798" xr:uid="{00000000-0005-0000-0000-000026030000}"/>
    <cellStyle name="Normal 58 5" xfId="799" xr:uid="{00000000-0005-0000-0000-000027030000}"/>
    <cellStyle name="Normal 59" xfId="800" xr:uid="{00000000-0005-0000-0000-000028030000}"/>
    <cellStyle name="Normal 59 2" xfId="801" xr:uid="{00000000-0005-0000-0000-000029030000}"/>
    <cellStyle name="Normal 59 2 2" xfId="802" xr:uid="{00000000-0005-0000-0000-00002A030000}"/>
    <cellStyle name="Normal 59 2 2 2" xfId="803" xr:uid="{00000000-0005-0000-0000-00002B030000}"/>
    <cellStyle name="Normal 59 2 3" xfId="804" xr:uid="{00000000-0005-0000-0000-00002C030000}"/>
    <cellStyle name="Normal 59 3" xfId="805" xr:uid="{00000000-0005-0000-0000-00002D030000}"/>
    <cellStyle name="Normal 59 3 2" xfId="806" xr:uid="{00000000-0005-0000-0000-00002E030000}"/>
    <cellStyle name="Normal 59 3 2 2" xfId="807" xr:uid="{00000000-0005-0000-0000-00002F030000}"/>
    <cellStyle name="Normal 59 3 3" xfId="808" xr:uid="{00000000-0005-0000-0000-000030030000}"/>
    <cellStyle name="Normal 59 4" xfId="809" xr:uid="{00000000-0005-0000-0000-000031030000}"/>
    <cellStyle name="Normal 59 4 2" xfId="810" xr:uid="{00000000-0005-0000-0000-000032030000}"/>
    <cellStyle name="Normal 59 5" xfId="811" xr:uid="{00000000-0005-0000-0000-000033030000}"/>
    <cellStyle name="Normal 6" xfId="812" xr:uid="{00000000-0005-0000-0000-000034030000}"/>
    <cellStyle name="Normal 6 2" xfId="813" xr:uid="{00000000-0005-0000-0000-000035030000}"/>
    <cellStyle name="Normal 6 2 2" xfId="814" xr:uid="{00000000-0005-0000-0000-000036030000}"/>
    <cellStyle name="Normal 6 2 2 2" xfId="815" xr:uid="{00000000-0005-0000-0000-000037030000}"/>
    <cellStyle name="Normal 6 2 3" xfId="816" xr:uid="{00000000-0005-0000-0000-000038030000}"/>
    <cellStyle name="Normal 6 3" xfId="817" xr:uid="{00000000-0005-0000-0000-000039030000}"/>
    <cellStyle name="Normal 6 3 2" xfId="818" xr:uid="{00000000-0005-0000-0000-00003A030000}"/>
    <cellStyle name="Normal 6 3 2 2" xfId="819" xr:uid="{00000000-0005-0000-0000-00003B030000}"/>
    <cellStyle name="Normal 6 3 3" xfId="820" xr:uid="{00000000-0005-0000-0000-00003C030000}"/>
    <cellStyle name="Normal 6 4" xfId="821" xr:uid="{00000000-0005-0000-0000-00003D030000}"/>
    <cellStyle name="Normal 6 4 2" xfId="822" xr:uid="{00000000-0005-0000-0000-00003E030000}"/>
    <cellStyle name="Normal 6 5" xfId="823" xr:uid="{00000000-0005-0000-0000-00003F030000}"/>
    <cellStyle name="Normal 60" xfId="824" xr:uid="{00000000-0005-0000-0000-000040030000}"/>
    <cellStyle name="Normal 60 2" xfId="825" xr:uid="{00000000-0005-0000-0000-000041030000}"/>
    <cellStyle name="Normal 60 2 2" xfId="826" xr:uid="{00000000-0005-0000-0000-000042030000}"/>
    <cellStyle name="Normal 60 2 2 2" xfId="827" xr:uid="{00000000-0005-0000-0000-000043030000}"/>
    <cellStyle name="Normal 60 2 3" xfId="828" xr:uid="{00000000-0005-0000-0000-000044030000}"/>
    <cellStyle name="Normal 60 3" xfId="829" xr:uid="{00000000-0005-0000-0000-000045030000}"/>
    <cellStyle name="Normal 60 3 2" xfId="830" xr:uid="{00000000-0005-0000-0000-000046030000}"/>
    <cellStyle name="Normal 60 3 2 2" xfId="831" xr:uid="{00000000-0005-0000-0000-000047030000}"/>
    <cellStyle name="Normal 60 3 3" xfId="832" xr:uid="{00000000-0005-0000-0000-000048030000}"/>
    <cellStyle name="Normal 60 4" xfId="833" xr:uid="{00000000-0005-0000-0000-000049030000}"/>
    <cellStyle name="Normal 60 4 2" xfId="834" xr:uid="{00000000-0005-0000-0000-00004A030000}"/>
    <cellStyle name="Normal 60 5" xfId="835" xr:uid="{00000000-0005-0000-0000-00004B030000}"/>
    <cellStyle name="Normal 61" xfId="836" xr:uid="{00000000-0005-0000-0000-00004C030000}"/>
    <cellStyle name="Normal 61 2" xfId="837" xr:uid="{00000000-0005-0000-0000-00004D030000}"/>
    <cellStyle name="Normal 61 2 2" xfId="838" xr:uid="{00000000-0005-0000-0000-00004E030000}"/>
    <cellStyle name="Normal 61 2 2 2" xfId="839" xr:uid="{00000000-0005-0000-0000-00004F030000}"/>
    <cellStyle name="Normal 61 2 3" xfId="840" xr:uid="{00000000-0005-0000-0000-000050030000}"/>
    <cellStyle name="Normal 61 3" xfId="841" xr:uid="{00000000-0005-0000-0000-000051030000}"/>
    <cellStyle name="Normal 61 3 2" xfId="842" xr:uid="{00000000-0005-0000-0000-000052030000}"/>
    <cellStyle name="Normal 61 3 2 2" xfId="843" xr:uid="{00000000-0005-0000-0000-000053030000}"/>
    <cellStyle name="Normal 61 3 3" xfId="844" xr:uid="{00000000-0005-0000-0000-000054030000}"/>
    <cellStyle name="Normal 61 4" xfId="845" xr:uid="{00000000-0005-0000-0000-000055030000}"/>
    <cellStyle name="Normal 61 4 2" xfId="846" xr:uid="{00000000-0005-0000-0000-000056030000}"/>
    <cellStyle name="Normal 61 5" xfId="847" xr:uid="{00000000-0005-0000-0000-000057030000}"/>
    <cellStyle name="Normal 62" xfId="848" xr:uid="{00000000-0005-0000-0000-000058030000}"/>
    <cellStyle name="Normal 62 2" xfId="849" xr:uid="{00000000-0005-0000-0000-000059030000}"/>
    <cellStyle name="Normal 62 3" xfId="850" xr:uid="{00000000-0005-0000-0000-00005A030000}"/>
    <cellStyle name="Normal 62 3 2" xfId="851" xr:uid="{00000000-0005-0000-0000-00005B030000}"/>
    <cellStyle name="Normal 62 3 2 2" xfId="852" xr:uid="{00000000-0005-0000-0000-00005C030000}"/>
    <cellStyle name="Normal 62 3 2 2 2" xfId="853" xr:uid="{00000000-0005-0000-0000-00005D030000}"/>
    <cellStyle name="Normal 62 3 2 3" xfId="854" xr:uid="{00000000-0005-0000-0000-00005E030000}"/>
    <cellStyle name="Normal 62 3 3" xfId="855" xr:uid="{00000000-0005-0000-0000-00005F030000}"/>
    <cellStyle name="Normal 62 3 3 2" xfId="856" xr:uid="{00000000-0005-0000-0000-000060030000}"/>
    <cellStyle name="Normal 62 3 3 2 2" xfId="857" xr:uid="{00000000-0005-0000-0000-000061030000}"/>
    <cellStyle name="Normal 62 3 3 3" xfId="858" xr:uid="{00000000-0005-0000-0000-000062030000}"/>
    <cellStyle name="Normal 62 3 4" xfId="859" xr:uid="{00000000-0005-0000-0000-000063030000}"/>
    <cellStyle name="Normal 62 3 4 2" xfId="860" xr:uid="{00000000-0005-0000-0000-000064030000}"/>
    <cellStyle name="Normal 62 3 5" xfId="861" xr:uid="{00000000-0005-0000-0000-000065030000}"/>
    <cellStyle name="Normal 62 4" xfId="862" xr:uid="{00000000-0005-0000-0000-000066030000}"/>
    <cellStyle name="Normal 62 4 2" xfId="863" xr:uid="{00000000-0005-0000-0000-000067030000}"/>
    <cellStyle name="Normal 62 4 2 2" xfId="864" xr:uid="{00000000-0005-0000-0000-000068030000}"/>
    <cellStyle name="Normal 62 4 2 2 2" xfId="865" xr:uid="{00000000-0005-0000-0000-000069030000}"/>
    <cellStyle name="Normal 62 4 2 2 2 2" xfId="866" xr:uid="{00000000-0005-0000-0000-00006A030000}"/>
    <cellStyle name="Normal 62 4 2 2 3" xfId="867" xr:uid="{00000000-0005-0000-0000-00006B030000}"/>
    <cellStyle name="Normal 62 4 2 3" xfId="868" xr:uid="{00000000-0005-0000-0000-00006C030000}"/>
    <cellStyle name="Normal 62 4 2 3 2" xfId="869" xr:uid="{00000000-0005-0000-0000-00006D030000}"/>
    <cellStyle name="Normal 62 4 2 3 2 2" xfId="870" xr:uid="{00000000-0005-0000-0000-00006E030000}"/>
    <cellStyle name="Normal 62 4 2 3 3" xfId="871" xr:uid="{00000000-0005-0000-0000-00006F030000}"/>
    <cellStyle name="Normal 62 4 2 4" xfId="872" xr:uid="{00000000-0005-0000-0000-000070030000}"/>
    <cellStyle name="Normal 62 4 2 4 2" xfId="873" xr:uid="{00000000-0005-0000-0000-000071030000}"/>
    <cellStyle name="Normal 62 4 2 5" xfId="874" xr:uid="{00000000-0005-0000-0000-000072030000}"/>
    <cellStyle name="Normal 62 4 3" xfId="875" xr:uid="{00000000-0005-0000-0000-000073030000}"/>
    <cellStyle name="Normal 62 4 3 2" xfId="876" xr:uid="{00000000-0005-0000-0000-000074030000}"/>
    <cellStyle name="Normal 62 4 3 2 2" xfId="877" xr:uid="{00000000-0005-0000-0000-000075030000}"/>
    <cellStyle name="Normal 62 4 3 3" xfId="878" xr:uid="{00000000-0005-0000-0000-000076030000}"/>
    <cellStyle name="Normal 62 4 4" xfId="879" xr:uid="{00000000-0005-0000-0000-000077030000}"/>
    <cellStyle name="Normal 62 4 4 2" xfId="880" xr:uid="{00000000-0005-0000-0000-000078030000}"/>
    <cellStyle name="Normal 62 4 4 2 2" xfId="881" xr:uid="{00000000-0005-0000-0000-000079030000}"/>
    <cellStyle name="Normal 62 4 4 3" xfId="882" xr:uid="{00000000-0005-0000-0000-00007A030000}"/>
    <cellStyle name="Normal 62 4 5" xfId="883" xr:uid="{00000000-0005-0000-0000-00007B030000}"/>
    <cellStyle name="Normal 62 4 5 2" xfId="884" xr:uid="{00000000-0005-0000-0000-00007C030000}"/>
    <cellStyle name="Normal 62 4 6" xfId="885" xr:uid="{00000000-0005-0000-0000-00007D030000}"/>
    <cellStyle name="Normal 63" xfId="886" xr:uid="{00000000-0005-0000-0000-00007E030000}"/>
    <cellStyle name="Normal 63 2" xfId="887" xr:uid="{00000000-0005-0000-0000-00007F030000}"/>
    <cellStyle name="Normal 63 2 2" xfId="888" xr:uid="{00000000-0005-0000-0000-000080030000}"/>
    <cellStyle name="Normal 63 2 2 2" xfId="889" xr:uid="{00000000-0005-0000-0000-000081030000}"/>
    <cellStyle name="Normal 63 2 3" xfId="890" xr:uid="{00000000-0005-0000-0000-000082030000}"/>
    <cellStyle name="Normal 63 3" xfId="891" xr:uid="{00000000-0005-0000-0000-000083030000}"/>
    <cellStyle name="Normal 63 3 2" xfId="892" xr:uid="{00000000-0005-0000-0000-000084030000}"/>
    <cellStyle name="Normal 63 3 2 2" xfId="893" xr:uid="{00000000-0005-0000-0000-000085030000}"/>
    <cellStyle name="Normal 63 3 3" xfId="894" xr:uid="{00000000-0005-0000-0000-000086030000}"/>
    <cellStyle name="Normal 63 4" xfId="895" xr:uid="{00000000-0005-0000-0000-000087030000}"/>
    <cellStyle name="Normal 63 4 2" xfId="896" xr:uid="{00000000-0005-0000-0000-000088030000}"/>
    <cellStyle name="Normal 63 5" xfId="897" xr:uid="{00000000-0005-0000-0000-000089030000}"/>
    <cellStyle name="Normal 64" xfId="898" xr:uid="{00000000-0005-0000-0000-00008A030000}"/>
    <cellStyle name="Normal 64 2" xfId="899" xr:uid="{00000000-0005-0000-0000-00008B030000}"/>
    <cellStyle name="Normal 64 2 2" xfId="900" xr:uid="{00000000-0005-0000-0000-00008C030000}"/>
    <cellStyle name="Normal 64 2 2 2" xfId="901" xr:uid="{00000000-0005-0000-0000-00008D030000}"/>
    <cellStyle name="Normal 64 2 3" xfId="902" xr:uid="{00000000-0005-0000-0000-00008E030000}"/>
    <cellStyle name="Normal 64 3" xfId="903" xr:uid="{00000000-0005-0000-0000-00008F030000}"/>
    <cellStyle name="Normal 64 3 2" xfId="904" xr:uid="{00000000-0005-0000-0000-000090030000}"/>
    <cellStyle name="Normal 64 3 2 2" xfId="905" xr:uid="{00000000-0005-0000-0000-000091030000}"/>
    <cellStyle name="Normal 64 3 3" xfId="906" xr:uid="{00000000-0005-0000-0000-000092030000}"/>
    <cellStyle name="Normal 64 4" xfId="907" xr:uid="{00000000-0005-0000-0000-000093030000}"/>
    <cellStyle name="Normal 64 4 2" xfId="908" xr:uid="{00000000-0005-0000-0000-000094030000}"/>
    <cellStyle name="Normal 64 5" xfId="909" xr:uid="{00000000-0005-0000-0000-000095030000}"/>
    <cellStyle name="Normal 65" xfId="910" xr:uid="{00000000-0005-0000-0000-000096030000}"/>
    <cellStyle name="Normal 65 2" xfId="911" xr:uid="{00000000-0005-0000-0000-000097030000}"/>
    <cellStyle name="Normal 65 2 2" xfId="912" xr:uid="{00000000-0005-0000-0000-000098030000}"/>
    <cellStyle name="Normal 65 2 2 2" xfId="913" xr:uid="{00000000-0005-0000-0000-000099030000}"/>
    <cellStyle name="Normal 65 2 3" xfId="914" xr:uid="{00000000-0005-0000-0000-00009A030000}"/>
    <cellStyle name="Normal 65 3" xfId="915" xr:uid="{00000000-0005-0000-0000-00009B030000}"/>
    <cellStyle name="Normal 65 3 2" xfId="916" xr:uid="{00000000-0005-0000-0000-00009C030000}"/>
    <cellStyle name="Normal 65 3 2 2" xfId="917" xr:uid="{00000000-0005-0000-0000-00009D030000}"/>
    <cellStyle name="Normal 65 3 3" xfId="918" xr:uid="{00000000-0005-0000-0000-00009E030000}"/>
    <cellStyle name="Normal 65 4" xfId="919" xr:uid="{00000000-0005-0000-0000-00009F030000}"/>
    <cellStyle name="Normal 65 4 2" xfId="920" xr:uid="{00000000-0005-0000-0000-0000A0030000}"/>
    <cellStyle name="Normal 65 5" xfId="921" xr:uid="{00000000-0005-0000-0000-0000A1030000}"/>
    <cellStyle name="Normal 66" xfId="922" xr:uid="{00000000-0005-0000-0000-0000A2030000}"/>
    <cellStyle name="Normal 66 2" xfId="923" xr:uid="{00000000-0005-0000-0000-0000A3030000}"/>
    <cellStyle name="Normal 66 2 2" xfId="924" xr:uid="{00000000-0005-0000-0000-0000A4030000}"/>
    <cellStyle name="Normal 66 2 2 2" xfId="925" xr:uid="{00000000-0005-0000-0000-0000A5030000}"/>
    <cellStyle name="Normal 66 2 3" xfId="926" xr:uid="{00000000-0005-0000-0000-0000A6030000}"/>
    <cellStyle name="Normal 66 3" xfId="927" xr:uid="{00000000-0005-0000-0000-0000A7030000}"/>
    <cellStyle name="Normal 66 3 2" xfId="928" xr:uid="{00000000-0005-0000-0000-0000A8030000}"/>
    <cellStyle name="Normal 66 3 2 2" xfId="929" xr:uid="{00000000-0005-0000-0000-0000A9030000}"/>
    <cellStyle name="Normal 66 3 3" xfId="930" xr:uid="{00000000-0005-0000-0000-0000AA030000}"/>
    <cellStyle name="Normal 66 4" xfId="931" xr:uid="{00000000-0005-0000-0000-0000AB030000}"/>
    <cellStyle name="Normal 66 4 2" xfId="932" xr:uid="{00000000-0005-0000-0000-0000AC030000}"/>
    <cellStyle name="Normal 66 5" xfId="933" xr:uid="{00000000-0005-0000-0000-0000AD030000}"/>
    <cellStyle name="Normal 67" xfId="934" xr:uid="{00000000-0005-0000-0000-0000AE030000}"/>
    <cellStyle name="Normal 67 2" xfId="935" xr:uid="{00000000-0005-0000-0000-0000AF030000}"/>
    <cellStyle name="Normal 67 2 2" xfId="936" xr:uid="{00000000-0005-0000-0000-0000B0030000}"/>
    <cellStyle name="Normal 67 2 2 2" xfId="937" xr:uid="{00000000-0005-0000-0000-0000B1030000}"/>
    <cellStyle name="Normal 67 2 3" xfId="938" xr:uid="{00000000-0005-0000-0000-0000B2030000}"/>
    <cellStyle name="Normal 67 3" xfId="939" xr:uid="{00000000-0005-0000-0000-0000B3030000}"/>
    <cellStyle name="Normal 67 3 2" xfId="940" xr:uid="{00000000-0005-0000-0000-0000B4030000}"/>
    <cellStyle name="Normal 67 3 2 2" xfId="941" xr:uid="{00000000-0005-0000-0000-0000B5030000}"/>
    <cellStyle name="Normal 67 3 3" xfId="942" xr:uid="{00000000-0005-0000-0000-0000B6030000}"/>
    <cellStyle name="Normal 67 4" xfId="943" xr:uid="{00000000-0005-0000-0000-0000B7030000}"/>
    <cellStyle name="Normal 67 4 2" xfId="944" xr:uid="{00000000-0005-0000-0000-0000B8030000}"/>
    <cellStyle name="Normal 67 5" xfId="945" xr:uid="{00000000-0005-0000-0000-0000B9030000}"/>
    <cellStyle name="Normal 68" xfId="946" xr:uid="{00000000-0005-0000-0000-0000BA030000}"/>
    <cellStyle name="Normal 68 2" xfId="947" xr:uid="{00000000-0005-0000-0000-0000BB030000}"/>
    <cellStyle name="Normal 68 2 2" xfId="948" xr:uid="{00000000-0005-0000-0000-0000BC030000}"/>
    <cellStyle name="Normal 68 2 2 2" xfId="949" xr:uid="{00000000-0005-0000-0000-0000BD030000}"/>
    <cellStyle name="Normal 68 2 3" xfId="950" xr:uid="{00000000-0005-0000-0000-0000BE030000}"/>
    <cellStyle name="Normal 68 3" xfId="951" xr:uid="{00000000-0005-0000-0000-0000BF030000}"/>
    <cellStyle name="Normal 68 3 2" xfId="952" xr:uid="{00000000-0005-0000-0000-0000C0030000}"/>
    <cellStyle name="Normal 68 3 2 2" xfId="953" xr:uid="{00000000-0005-0000-0000-0000C1030000}"/>
    <cellStyle name="Normal 68 3 3" xfId="954" xr:uid="{00000000-0005-0000-0000-0000C2030000}"/>
    <cellStyle name="Normal 68 4" xfId="955" xr:uid="{00000000-0005-0000-0000-0000C3030000}"/>
    <cellStyle name="Normal 68 4 2" xfId="956" xr:uid="{00000000-0005-0000-0000-0000C4030000}"/>
    <cellStyle name="Normal 68 5" xfId="957" xr:uid="{00000000-0005-0000-0000-0000C5030000}"/>
    <cellStyle name="Normal 69" xfId="958" xr:uid="{00000000-0005-0000-0000-0000C6030000}"/>
    <cellStyle name="Normal 69 2" xfId="959" xr:uid="{00000000-0005-0000-0000-0000C7030000}"/>
    <cellStyle name="Normal 69 2 2" xfId="960" xr:uid="{00000000-0005-0000-0000-0000C8030000}"/>
    <cellStyle name="Normal 69 2 2 2" xfId="961" xr:uid="{00000000-0005-0000-0000-0000C9030000}"/>
    <cellStyle name="Normal 69 2 3" xfId="962" xr:uid="{00000000-0005-0000-0000-0000CA030000}"/>
    <cellStyle name="Normal 69 3" xfId="963" xr:uid="{00000000-0005-0000-0000-0000CB030000}"/>
    <cellStyle name="Normal 69 3 2" xfId="964" xr:uid="{00000000-0005-0000-0000-0000CC030000}"/>
    <cellStyle name="Normal 69 3 2 2" xfId="965" xr:uid="{00000000-0005-0000-0000-0000CD030000}"/>
    <cellStyle name="Normal 69 3 3" xfId="966" xr:uid="{00000000-0005-0000-0000-0000CE030000}"/>
    <cellStyle name="Normal 69 4" xfId="967" xr:uid="{00000000-0005-0000-0000-0000CF030000}"/>
    <cellStyle name="Normal 69 4 2" xfId="968" xr:uid="{00000000-0005-0000-0000-0000D0030000}"/>
    <cellStyle name="Normal 69 5" xfId="969" xr:uid="{00000000-0005-0000-0000-0000D1030000}"/>
    <cellStyle name="Normal 7" xfId="970" xr:uid="{00000000-0005-0000-0000-0000D2030000}"/>
    <cellStyle name="Normal 7 2" xfId="971" xr:uid="{00000000-0005-0000-0000-0000D3030000}"/>
    <cellStyle name="Normal 7 2 2" xfId="972" xr:uid="{00000000-0005-0000-0000-0000D4030000}"/>
    <cellStyle name="Normal 7 2 2 2" xfId="973" xr:uid="{00000000-0005-0000-0000-0000D5030000}"/>
    <cellStyle name="Normal 7 2 3" xfId="974" xr:uid="{00000000-0005-0000-0000-0000D6030000}"/>
    <cellStyle name="Normal 7 3" xfId="975" xr:uid="{00000000-0005-0000-0000-0000D7030000}"/>
    <cellStyle name="Normal 7 3 2" xfId="976" xr:uid="{00000000-0005-0000-0000-0000D8030000}"/>
    <cellStyle name="Normal 7 3 2 2" xfId="977" xr:uid="{00000000-0005-0000-0000-0000D9030000}"/>
    <cellStyle name="Normal 7 3 3" xfId="978" xr:uid="{00000000-0005-0000-0000-0000DA030000}"/>
    <cellStyle name="Normal 7 4" xfId="979" xr:uid="{00000000-0005-0000-0000-0000DB030000}"/>
    <cellStyle name="Normal 7 4 2" xfId="980" xr:uid="{00000000-0005-0000-0000-0000DC030000}"/>
    <cellStyle name="Normal 7 5" xfId="981" xr:uid="{00000000-0005-0000-0000-0000DD030000}"/>
    <cellStyle name="Normal 70" xfId="982" xr:uid="{00000000-0005-0000-0000-0000DE030000}"/>
    <cellStyle name="Normal 70 2" xfId="983" xr:uid="{00000000-0005-0000-0000-0000DF030000}"/>
    <cellStyle name="Normal 70 2 2" xfId="984" xr:uid="{00000000-0005-0000-0000-0000E0030000}"/>
    <cellStyle name="Normal 70 2 2 2" xfId="985" xr:uid="{00000000-0005-0000-0000-0000E1030000}"/>
    <cellStyle name="Normal 70 2 3" xfId="986" xr:uid="{00000000-0005-0000-0000-0000E2030000}"/>
    <cellStyle name="Normal 70 3" xfId="987" xr:uid="{00000000-0005-0000-0000-0000E3030000}"/>
    <cellStyle name="Normal 70 3 2" xfId="988" xr:uid="{00000000-0005-0000-0000-0000E4030000}"/>
    <cellStyle name="Normal 70 3 2 2" xfId="989" xr:uid="{00000000-0005-0000-0000-0000E5030000}"/>
    <cellStyle name="Normal 70 3 3" xfId="990" xr:uid="{00000000-0005-0000-0000-0000E6030000}"/>
    <cellStyle name="Normal 70 4" xfId="991" xr:uid="{00000000-0005-0000-0000-0000E7030000}"/>
    <cellStyle name="Normal 70 4 2" xfId="992" xr:uid="{00000000-0005-0000-0000-0000E8030000}"/>
    <cellStyle name="Normal 70 5" xfId="993" xr:uid="{00000000-0005-0000-0000-0000E9030000}"/>
    <cellStyle name="Normal 71" xfId="994" xr:uid="{00000000-0005-0000-0000-0000EA030000}"/>
    <cellStyle name="Normal 71 2" xfId="995" xr:uid="{00000000-0005-0000-0000-0000EB030000}"/>
    <cellStyle name="Normal 71 2 2" xfId="996" xr:uid="{00000000-0005-0000-0000-0000EC030000}"/>
    <cellStyle name="Normal 71 2 2 2" xfId="997" xr:uid="{00000000-0005-0000-0000-0000ED030000}"/>
    <cellStyle name="Normal 71 2 3" xfId="998" xr:uid="{00000000-0005-0000-0000-0000EE030000}"/>
    <cellStyle name="Normal 71 3" xfId="999" xr:uid="{00000000-0005-0000-0000-0000EF030000}"/>
    <cellStyle name="Normal 71 3 2" xfId="1000" xr:uid="{00000000-0005-0000-0000-0000F0030000}"/>
    <cellStyle name="Normal 71 3 2 2" xfId="1001" xr:uid="{00000000-0005-0000-0000-0000F1030000}"/>
    <cellStyle name="Normal 71 3 3" xfId="1002" xr:uid="{00000000-0005-0000-0000-0000F2030000}"/>
    <cellStyle name="Normal 71 4" xfId="1003" xr:uid="{00000000-0005-0000-0000-0000F3030000}"/>
    <cellStyle name="Normal 71 4 2" xfId="1004" xr:uid="{00000000-0005-0000-0000-0000F4030000}"/>
    <cellStyle name="Normal 71 5" xfId="1005" xr:uid="{00000000-0005-0000-0000-0000F5030000}"/>
    <cellStyle name="Normal 72" xfId="1006" xr:uid="{00000000-0005-0000-0000-0000F6030000}"/>
    <cellStyle name="Normal 72 2" xfId="1007" xr:uid="{00000000-0005-0000-0000-0000F7030000}"/>
    <cellStyle name="Normal 72 2 2" xfId="1008" xr:uid="{00000000-0005-0000-0000-0000F8030000}"/>
    <cellStyle name="Normal 72 2 2 2" xfId="1009" xr:uid="{00000000-0005-0000-0000-0000F9030000}"/>
    <cellStyle name="Normal 72 2 3" xfId="1010" xr:uid="{00000000-0005-0000-0000-0000FA030000}"/>
    <cellStyle name="Normal 72 3" xfId="1011" xr:uid="{00000000-0005-0000-0000-0000FB030000}"/>
    <cellStyle name="Normal 72 3 2" xfId="1012" xr:uid="{00000000-0005-0000-0000-0000FC030000}"/>
    <cellStyle name="Normal 72 3 2 2" xfId="1013" xr:uid="{00000000-0005-0000-0000-0000FD030000}"/>
    <cellStyle name="Normal 72 3 3" xfId="1014" xr:uid="{00000000-0005-0000-0000-0000FE030000}"/>
    <cellStyle name="Normal 72 4" xfId="1015" xr:uid="{00000000-0005-0000-0000-0000FF030000}"/>
    <cellStyle name="Normal 72 4 2" xfId="1016" xr:uid="{00000000-0005-0000-0000-000000040000}"/>
    <cellStyle name="Normal 72 5" xfId="1017" xr:uid="{00000000-0005-0000-0000-000001040000}"/>
    <cellStyle name="Normal 73" xfId="1018" xr:uid="{00000000-0005-0000-0000-000002040000}"/>
    <cellStyle name="Normal 73 2" xfId="1019" xr:uid="{00000000-0005-0000-0000-000003040000}"/>
    <cellStyle name="Normal 73 2 2" xfId="1020" xr:uid="{00000000-0005-0000-0000-000004040000}"/>
    <cellStyle name="Normal 73 2 2 2" xfId="1021" xr:uid="{00000000-0005-0000-0000-000005040000}"/>
    <cellStyle name="Normal 73 2 3" xfId="1022" xr:uid="{00000000-0005-0000-0000-000006040000}"/>
    <cellStyle name="Normal 73 3" xfId="1023" xr:uid="{00000000-0005-0000-0000-000007040000}"/>
    <cellStyle name="Normal 73 3 2" xfId="1024" xr:uid="{00000000-0005-0000-0000-000008040000}"/>
    <cellStyle name="Normal 73 3 2 2" xfId="1025" xr:uid="{00000000-0005-0000-0000-000009040000}"/>
    <cellStyle name="Normal 73 3 3" xfId="1026" xr:uid="{00000000-0005-0000-0000-00000A040000}"/>
    <cellStyle name="Normal 73 4" xfId="1027" xr:uid="{00000000-0005-0000-0000-00000B040000}"/>
    <cellStyle name="Normal 73 4 2" xfId="1028" xr:uid="{00000000-0005-0000-0000-00000C040000}"/>
    <cellStyle name="Normal 73 5" xfId="1029" xr:uid="{00000000-0005-0000-0000-00000D040000}"/>
    <cellStyle name="Normal 74" xfId="1030" xr:uid="{00000000-0005-0000-0000-00000E040000}"/>
    <cellStyle name="Normal 74 2" xfId="1031" xr:uid="{00000000-0005-0000-0000-00000F040000}"/>
    <cellStyle name="Normal 74 2 2" xfId="1032" xr:uid="{00000000-0005-0000-0000-000010040000}"/>
    <cellStyle name="Normal 74 2 2 2" xfId="1033" xr:uid="{00000000-0005-0000-0000-000011040000}"/>
    <cellStyle name="Normal 74 2 3" xfId="1034" xr:uid="{00000000-0005-0000-0000-000012040000}"/>
    <cellStyle name="Normal 74 3" xfId="1035" xr:uid="{00000000-0005-0000-0000-000013040000}"/>
    <cellStyle name="Normal 74 3 2" xfId="1036" xr:uid="{00000000-0005-0000-0000-000014040000}"/>
    <cellStyle name="Normal 74 3 2 2" xfId="1037" xr:uid="{00000000-0005-0000-0000-000015040000}"/>
    <cellStyle name="Normal 74 3 3" xfId="1038" xr:uid="{00000000-0005-0000-0000-000016040000}"/>
    <cellStyle name="Normal 74 4" xfId="1039" xr:uid="{00000000-0005-0000-0000-000017040000}"/>
    <cellStyle name="Normal 74 4 2" xfId="1040" xr:uid="{00000000-0005-0000-0000-000018040000}"/>
    <cellStyle name="Normal 74 5" xfId="1041" xr:uid="{00000000-0005-0000-0000-000019040000}"/>
    <cellStyle name="Normal 75" xfId="1042" xr:uid="{00000000-0005-0000-0000-00001A040000}"/>
    <cellStyle name="Normal 75 2" xfId="1043" xr:uid="{00000000-0005-0000-0000-00001B040000}"/>
    <cellStyle name="Normal 75 2 2" xfId="1044" xr:uid="{00000000-0005-0000-0000-00001C040000}"/>
    <cellStyle name="Normal 75 2 2 2" xfId="1045" xr:uid="{00000000-0005-0000-0000-00001D040000}"/>
    <cellStyle name="Normal 75 2 3" xfId="1046" xr:uid="{00000000-0005-0000-0000-00001E040000}"/>
    <cellStyle name="Normal 75 3" xfId="1047" xr:uid="{00000000-0005-0000-0000-00001F040000}"/>
    <cellStyle name="Normal 75 3 2" xfId="1048" xr:uid="{00000000-0005-0000-0000-000020040000}"/>
    <cellStyle name="Normal 75 3 2 2" xfId="1049" xr:uid="{00000000-0005-0000-0000-000021040000}"/>
    <cellStyle name="Normal 75 3 3" xfId="1050" xr:uid="{00000000-0005-0000-0000-000022040000}"/>
    <cellStyle name="Normal 75 4" xfId="1051" xr:uid="{00000000-0005-0000-0000-000023040000}"/>
    <cellStyle name="Normal 75 4 2" xfId="1052" xr:uid="{00000000-0005-0000-0000-000024040000}"/>
    <cellStyle name="Normal 75 5" xfId="1053" xr:uid="{00000000-0005-0000-0000-000025040000}"/>
    <cellStyle name="Normal 76" xfId="1054" xr:uid="{00000000-0005-0000-0000-000026040000}"/>
    <cellStyle name="Normal 76 2" xfId="1055" xr:uid="{00000000-0005-0000-0000-000027040000}"/>
    <cellStyle name="Normal 76 2 2" xfId="1056" xr:uid="{00000000-0005-0000-0000-000028040000}"/>
    <cellStyle name="Normal 76 2 2 2" xfId="1057" xr:uid="{00000000-0005-0000-0000-000029040000}"/>
    <cellStyle name="Normal 76 2 3" xfId="1058" xr:uid="{00000000-0005-0000-0000-00002A040000}"/>
    <cellStyle name="Normal 76 3" xfId="1059" xr:uid="{00000000-0005-0000-0000-00002B040000}"/>
    <cellStyle name="Normal 76 3 2" xfId="1060" xr:uid="{00000000-0005-0000-0000-00002C040000}"/>
    <cellStyle name="Normal 76 3 2 2" xfId="1061" xr:uid="{00000000-0005-0000-0000-00002D040000}"/>
    <cellStyle name="Normal 76 3 3" xfId="1062" xr:uid="{00000000-0005-0000-0000-00002E040000}"/>
    <cellStyle name="Normal 76 4" xfId="1063" xr:uid="{00000000-0005-0000-0000-00002F040000}"/>
    <cellStyle name="Normal 76 4 2" xfId="1064" xr:uid="{00000000-0005-0000-0000-000030040000}"/>
    <cellStyle name="Normal 76 5" xfId="1065" xr:uid="{00000000-0005-0000-0000-000031040000}"/>
    <cellStyle name="Normal 77" xfId="1066" xr:uid="{00000000-0005-0000-0000-000032040000}"/>
    <cellStyle name="Normal 77 2" xfId="1067" xr:uid="{00000000-0005-0000-0000-000033040000}"/>
    <cellStyle name="Normal 77 2 2" xfId="1068" xr:uid="{00000000-0005-0000-0000-000034040000}"/>
    <cellStyle name="Normal 77 2 2 2" xfId="1069" xr:uid="{00000000-0005-0000-0000-000035040000}"/>
    <cellStyle name="Normal 77 2 3" xfId="1070" xr:uid="{00000000-0005-0000-0000-000036040000}"/>
    <cellStyle name="Normal 77 3" xfId="1071" xr:uid="{00000000-0005-0000-0000-000037040000}"/>
    <cellStyle name="Normal 77 3 2" xfId="1072" xr:uid="{00000000-0005-0000-0000-000038040000}"/>
    <cellStyle name="Normal 77 3 2 2" xfId="1073" xr:uid="{00000000-0005-0000-0000-000039040000}"/>
    <cellStyle name="Normal 77 3 3" xfId="1074" xr:uid="{00000000-0005-0000-0000-00003A040000}"/>
    <cellStyle name="Normal 77 4" xfId="1075" xr:uid="{00000000-0005-0000-0000-00003B040000}"/>
    <cellStyle name="Normal 77 4 2" xfId="1076" xr:uid="{00000000-0005-0000-0000-00003C040000}"/>
    <cellStyle name="Normal 77 5" xfId="1077" xr:uid="{00000000-0005-0000-0000-00003D040000}"/>
    <cellStyle name="Normal 78" xfId="1078" xr:uid="{00000000-0005-0000-0000-00003E040000}"/>
    <cellStyle name="Normal 78 2" xfId="1079" xr:uid="{00000000-0005-0000-0000-00003F040000}"/>
    <cellStyle name="Normal 78 2 2" xfId="1080" xr:uid="{00000000-0005-0000-0000-000040040000}"/>
    <cellStyle name="Normal 78 2 2 2" xfId="1081" xr:uid="{00000000-0005-0000-0000-000041040000}"/>
    <cellStyle name="Normal 78 2 3" xfId="1082" xr:uid="{00000000-0005-0000-0000-000042040000}"/>
    <cellStyle name="Normal 78 3" xfId="1083" xr:uid="{00000000-0005-0000-0000-000043040000}"/>
    <cellStyle name="Normal 78 3 2" xfId="1084" xr:uid="{00000000-0005-0000-0000-000044040000}"/>
    <cellStyle name="Normal 78 3 2 2" xfId="1085" xr:uid="{00000000-0005-0000-0000-000045040000}"/>
    <cellStyle name="Normal 78 3 3" xfId="1086" xr:uid="{00000000-0005-0000-0000-000046040000}"/>
    <cellStyle name="Normal 78 4" xfId="1087" xr:uid="{00000000-0005-0000-0000-000047040000}"/>
    <cellStyle name="Normal 78 4 2" xfId="1088" xr:uid="{00000000-0005-0000-0000-000048040000}"/>
    <cellStyle name="Normal 78 5" xfId="1089" xr:uid="{00000000-0005-0000-0000-000049040000}"/>
    <cellStyle name="Normal 79" xfId="1090" xr:uid="{00000000-0005-0000-0000-00004A040000}"/>
    <cellStyle name="Normal 79 2" xfId="1091" xr:uid="{00000000-0005-0000-0000-00004B040000}"/>
    <cellStyle name="Normal 79 2 2" xfId="1092" xr:uid="{00000000-0005-0000-0000-00004C040000}"/>
    <cellStyle name="Normal 79 2 2 2" xfId="1093" xr:uid="{00000000-0005-0000-0000-00004D040000}"/>
    <cellStyle name="Normal 79 2 3" xfId="1094" xr:uid="{00000000-0005-0000-0000-00004E040000}"/>
    <cellStyle name="Normal 79 3" xfId="1095" xr:uid="{00000000-0005-0000-0000-00004F040000}"/>
    <cellStyle name="Normal 79 3 2" xfId="1096" xr:uid="{00000000-0005-0000-0000-000050040000}"/>
    <cellStyle name="Normal 79 3 2 2" xfId="1097" xr:uid="{00000000-0005-0000-0000-000051040000}"/>
    <cellStyle name="Normal 79 3 3" xfId="1098" xr:uid="{00000000-0005-0000-0000-000052040000}"/>
    <cellStyle name="Normal 79 4" xfId="1099" xr:uid="{00000000-0005-0000-0000-000053040000}"/>
    <cellStyle name="Normal 79 4 2" xfId="1100" xr:uid="{00000000-0005-0000-0000-000054040000}"/>
    <cellStyle name="Normal 79 5" xfId="1101" xr:uid="{00000000-0005-0000-0000-000055040000}"/>
    <cellStyle name="Normal 8" xfId="1102" xr:uid="{00000000-0005-0000-0000-000056040000}"/>
    <cellStyle name="Normal 8 2" xfId="1103" xr:uid="{00000000-0005-0000-0000-000057040000}"/>
    <cellStyle name="Normal 8 2 2" xfId="1104" xr:uid="{00000000-0005-0000-0000-000058040000}"/>
    <cellStyle name="Normal 8 2 2 2" xfId="1105" xr:uid="{00000000-0005-0000-0000-000059040000}"/>
    <cellStyle name="Normal 8 2 3" xfId="1106" xr:uid="{00000000-0005-0000-0000-00005A040000}"/>
    <cellStyle name="Normal 8 3" xfId="1107" xr:uid="{00000000-0005-0000-0000-00005B040000}"/>
    <cellStyle name="Normal 8 3 2" xfId="1108" xr:uid="{00000000-0005-0000-0000-00005C040000}"/>
    <cellStyle name="Normal 8 3 2 2" xfId="1109" xr:uid="{00000000-0005-0000-0000-00005D040000}"/>
    <cellStyle name="Normal 8 3 3" xfId="1110" xr:uid="{00000000-0005-0000-0000-00005E040000}"/>
    <cellStyle name="Normal 8 4" xfId="1111" xr:uid="{00000000-0005-0000-0000-00005F040000}"/>
    <cellStyle name="Normal 8 4 2" xfId="1112" xr:uid="{00000000-0005-0000-0000-000060040000}"/>
    <cellStyle name="Normal 8 5" xfId="1113" xr:uid="{00000000-0005-0000-0000-000061040000}"/>
    <cellStyle name="Normal 80" xfId="1114" xr:uid="{00000000-0005-0000-0000-000062040000}"/>
    <cellStyle name="Normal 80 2" xfId="1115" xr:uid="{00000000-0005-0000-0000-000063040000}"/>
    <cellStyle name="Normal 80 2 2" xfId="1116" xr:uid="{00000000-0005-0000-0000-000064040000}"/>
    <cellStyle name="Normal 80 2 2 2" xfId="1117" xr:uid="{00000000-0005-0000-0000-000065040000}"/>
    <cellStyle name="Normal 80 2 2 2 2" xfId="1118" xr:uid="{00000000-0005-0000-0000-000066040000}"/>
    <cellStyle name="Normal 80 2 2 3" xfId="1119" xr:uid="{00000000-0005-0000-0000-000067040000}"/>
    <cellStyle name="Normal 80 2 3" xfId="1120" xr:uid="{00000000-0005-0000-0000-000068040000}"/>
    <cellStyle name="Normal 80 2 3 2" xfId="1121" xr:uid="{00000000-0005-0000-0000-000069040000}"/>
    <cellStyle name="Normal 80 2 4" xfId="1122" xr:uid="{00000000-0005-0000-0000-00006A040000}"/>
    <cellStyle name="Normal 80 3" xfId="1123" xr:uid="{00000000-0005-0000-0000-00006B040000}"/>
    <cellStyle name="Normal 80 3 2" xfId="1124" xr:uid="{00000000-0005-0000-0000-00006C040000}"/>
    <cellStyle name="Normal 80 3 2 2" xfId="1125" xr:uid="{00000000-0005-0000-0000-00006D040000}"/>
    <cellStyle name="Normal 80 3 2 2 2" xfId="1126" xr:uid="{00000000-0005-0000-0000-00006E040000}"/>
    <cellStyle name="Normal 80 3 2 2 2 2" xfId="1127" xr:uid="{00000000-0005-0000-0000-00006F040000}"/>
    <cellStyle name="Normal 80 3 2 2 3" xfId="1128" xr:uid="{00000000-0005-0000-0000-000070040000}"/>
    <cellStyle name="Normal 80 3 2 3" xfId="1129" xr:uid="{00000000-0005-0000-0000-000071040000}"/>
    <cellStyle name="Normal 80 3 2 3 2" xfId="1130" xr:uid="{00000000-0005-0000-0000-000072040000}"/>
    <cellStyle name="Normal 80 3 2 4" xfId="1131" xr:uid="{00000000-0005-0000-0000-000073040000}"/>
    <cellStyle name="Normal 80 3 3" xfId="1132" xr:uid="{00000000-0005-0000-0000-000074040000}"/>
    <cellStyle name="Normal 80 3 3 2" xfId="1133" xr:uid="{00000000-0005-0000-0000-000075040000}"/>
    <cellStyle name="Normal 80 3 3 2 2" xfId="1134" xr:uid="{00000000-0005-0000-0000-000076040000}"/>
    <cellStyle name="Normal 80 3 3 3" xfId="1135" xr:uid="{00000000-0005-0000-0000-000077040000}"/>
    <cellStyle name="Normal 80 3 4" xfId="1136" xr:uid="{00000000-0005-0000-0000-000078040000}"/>
    <cellStyle name="Normal 80 3 4 2" xfId="1137" xr:uid="{00000000-0005-0000-0000-000079040000}"/>
    <cellStyle name="Normal 80 3 5" xfId="1138" xr:uid="{00000000-0005-0000-0000-00007A040000}"/>
    <cellStyle name="Normal 80 4" xfId="1139" xr:uid="{00000000-0005-0000-0000-00007B040000}"/>
    <cellStyle name="Normal 80 4 2" xfId="1140" xr:uid="{00000000-0005-0000-0000-00007C040000}"/>
    <cellStyle name="Normal 80 4 2 2" xfId="1141" xr:uid="{00000000-0005-0000-0000-00007D040000}"/>
    <cellStyle name="Normal 80 4 3" xfId="1142" xr:uid="{00000000-0005-0000-0000-00007E040000}"/>
    <cellStyle name="Normal 80 5" xfId="1143" xr:uid="{00000000-0005-0000-0000-00007F040000}"/>
    <cellStyle name="Normal 80 5 2" xfId="1144" xr:uid="{00000000-0005-0000-0000-000080040000}"/>
    <cellStyle name="Normal 80 6" xfId="1145" xr:uid="{00000000-0005-0000-0000-000081040000}"/>
    <cellStyle name="Normal 81" xfId="1146" xr:uid="{00000000-0005-0000-0000-000082040000}"/>
    <cellStyle name="Normal 81 2" xfId="1147" xr:uid="{00000000-0005-0000-0000-000083040000}"/>
    <cellStyle name="Normal 81 2 2" xfId="1148" xr:uid="{00000000-0005-0000-0000-000084040000}"/>
    <cellStyle name="Normal 81 2 2 2" xfId="1149" xr:uid="{00000000-0005-0000-0000-000085040000}"/>
    <cellStyle name="Normal 81 2 3" xfId="1150" xr:uid="{00000000-0005-0000-0000-000086040000}"/>
    <cellStyle name="Normal 81 3" xfId="1151" xr:uid="{00000000-0005-0000-0000-000087040000}"/>
    <cellStyle name="Normal 81 3 2" xfId="1152" xr:uid="{00000000-0005-0000-0000-000088040000}"/>
    <cellStyle name="Normal 81 4" xfId="1153" xr:uid="{00000000-0005-0000-0000-000089040000}"/>
    <cellStyle name="Normal 82" xfId="1154" xr:uid="{00000000-0005-0000-0000-00008A040000}"/>
    <cellStyle name="Normal 82 2" xfId="1155" xr:uid="{00000000-0005-0000-0000-00008B040000}"/>
    <cellStyle name="Normal 82 2 2" xfId="1156" xr:uid="{00000000-0005-0000-0000-00008C040000}"/>
    <cellStyle name="Normal 82 2 2 2" xfId="1157" xr:uid="{00000000-0005-0000-0000-00008D040000}"/>
    <cellStyle name="Normal 82 2 2 2 2" xfId="1158" xr:uid="{00000000-0005-0000-0000-00008E040000}"/>
    <cellStyle name="Normal 82 2 2 3" xfId="1159" xr:uid="{00000000-0005-0000-0000-00008F040000}"/>
    <cellStyle name="Normal 82 2 3" xfId="1160" xr:uid="{00000000-0005-0000-0000-000090040000}"/>
    <cellStyle name="Normal 82 2 3 2" xfId="1161" xr:uid="{00000000-0005-0000-0000-000091040000}"/>
    <cellStyle name="Normal 82 2 4" xfId="1162" xr:uid="{00000000-0005-0000-0000-000092040000}"/>
    <cellStyle name="Normal 82 3" xfId="1163" xr:uid="{00000000-0005-0000-0000-000093040000}"/>
    <cellStyle name="Normal 82 3 2" xfId="1164" xr:uid="{00000000-0005-0000-0000-000094040000}"/>
    <cellStyle name="Normal 82 3 2 2" xfId="1165" xr:uid="{00000000-0005-0000-0000-000095040000}"/>
    <cellStyle name="Normal 82 3 3" xfId="1166" xr:uid="{00000000-0005-0000-0000-000096040000}"/>
    <cellStyle name="Normal 82 4" xfId="1167" xr:uid="{00000000-0005-0000-0000-000097040000}"/>
    <cellStyle name="Normal 82 4 2" xfId="1168" xr:uid="{00000000-0005-0000-0000-000098040000}"/>
    <cellStyle name="Normal 82 5" xfId="1169" xr:uid="{00000000-0005-0000-0000-000099040000}"/>
    <cellStyle name="Normal 83" xfId="1170" xr:uid="{00000000-0005-0000-0000-00009A040000}"/>
    <cellStyle name="Normal 83 2" xfId="1171" xr:uid="{00000000-0005-0000-0000-00009B040000}"/>
    <cellStyle name="Normal 83 2 2" xfId="1172" xr:uid="{00000000-0005-0000-0000-00009C040000}"/>
    <cellStyle name="Normal 83 2 2 2" xfId="1173" xr:uid="{00000000-0005-0000-0000-00009D040000}"/>
    <cellStyle name="Normal 83 2 3" xfId="1174" xr:uid="{00000000-0005-0000-0000-00009E040000}"/>
    <cellStyle name="Normal 83 3" xfId="1175" xr:uid="{00000000-0005-0000-0000-00009F040000}"/>
    <cellStyle name="Normal 83 3 2" xfId="1176" xr:uid="{00000000-0005-0000-0000-0000A0040000}"/>
    <cellStyle name="Normal 83 3 2 2" xfId="1177" xr:uid="{00000000-0005-0000-0000-0000A1040000}"/>
    <cellStyle name="Normal 83 3 3" xfId="1178" xr:uid="{00000000-0005-0000-0000-0000A2040000}"/>
    <cellStyle name="Normal 83 4" xfId="1179" xr:uid="{00000000-0005-0000-0000-0000A3040000}"/>
    <cellStyle name="Normal 83 4 2" xfId="1180" xr:uid="{00000000-0005-0000-0000-0000A4040000}"/>
    <cellStyle name="Normal 83 5" xfId="1181" xr:uid="{00000000-0005-0000-0000-0000A5040000}"/>
    <cellStyle name="Normal 84" xfId="1182" xr:uid="{00000000-0005-0000-0000-0000A6040000}"/>
    <cellStyle name="Normal 84 2" xfId="1183" xr:uid="{00000000-0005-0000-0000-0000A7040000}"/>
    <cellStyle name="Normal 84 2 2" xfId="1184" xr:uid="{00000000-0005-0000-0000-0000A8040000}"/>
    <cellStyle name="Normal 84 2 2 2" xfId="1185" xr:uid="{00000000-0005-0000-0000-0000A9040000}"/>
    <cellStyle name="Normal 84 2 3" xfId="1186" xr:uid="{00000000-0005-0000-0000-0000AA040000}"/>
    <cellStyle name="Normal 84 3" xfId="1187" xr:uid="{00000000-0005-0000-0000-0000AB040000}"/>
    <cellStyle name="Normal 84 3 2" xfId="1188" xr:uid="{00000000-0005-0000-0000-0000AC040000}"/>
    <cellStyle name="Normal 84 3 2 2" xfId="1189" xr:uid="{00000000-0005-0000-0000-0000AD040000}"/>
    <cellStyle name="Normal 84 3 3" xfId="1190" xr:uid="{00000000-0005-0000-0000-0000AE040000}"/>
    <cellStyle name="Normal 84 4" xfId="1191" xr:uid="{00000000-0005-0000-0000-0000AF040000}"/>
    <cellStyle name="Normal 84 4 2" xfId="1192" xr:uid="{00000000-0005-0000-0000-0000B0040000}"/>
    <cellStyle name="Normal 84 5" xfId="1193" xr:uid="{00000000-0005-0000-0000-0000B1040000}"/>
    <cellStyle name="Normal 85" xfId="1194" xr:uid="{00000000-0005-0000-0000-0000B2040000}"/>
    <cellStyle name="Normal 85 2" xfId="1195" xr:uid="{00000000-0005-0000-0000-0000B3040000}"/>
    <cellStyle name="Normal 85 2 2" xfId="1196" xr:uid="{00000000-0005-0000-0000-0000B4040000}"/>
    <cellStyle name="Normal 85 2 2 2" xfId="1197" xr:uid="{00000000-0005-0000-0000-0000B5040000}"/>
    <cellStyle name="Normal 85 2 3" xfId="1198" xr:uid="{00000000-0005-0000-0000-0000B6040000}"/>
    <cellStyle name="Normal 85 3" xfId="1199" xr:uid="{00000000-0005-0000-0000-0000B7040000}"/>
    <cellStyle name="Normal 85 3 2" xfId="1200" xr:uid="{00000000-0005-0000-0000-0000B8040000}"/>
    <cellStyle name="Normal 85 3 2 2" xfId="1201" xr:uid="{00000000-0005-0000-0000-0000B9040000}"/>
    <cellStyle name="Normal 85 3 3" xfId="1202" xr:uid="{00000000-0005-0000-0000-0000BA040000}"/>
    <cellStyle name="Normal 85 4" xfId="1203" xr:uid="{00000000-0005-0000-0000-0000BB040000}"/>
    <cellStyle name="Normal 85 4 2" xfId="1204" xr:uid="{00000000-0005-0000-0000-0000BC040000}"/>
    <cellStyle name="Normal 85 5" xfId="1205" xr:uid="{00000000-0005-0000-0000-0000BD040000}"/>
    <cellStyle name="Normal 86" xfId="1206" xr:uid="{00000000-0005-0000-0000-0000BE040000}"/>
    <cellStyle name="Normal 86 2" xfId="1207" xr:uid="{00000000-0005-0000-0000-0000BF040000}"/>
    <cellStyle name="Normal 86 2 2" xfId="1208" xr:uid="{00000000-0005-0000-0000-0000C0040000}"/>
    <cellStyle name="Normal 86 2 2 2" xfId="1209" xr:uid="{00000000-0005-0000-0000-0000C1040000}"/>
    <cellStyle name="Normal 86 2 3" xfId="1210" xr:uid="{00000000-0005-0000-0000-0000C2040000}"/>
    <cellStyle name="Normal 86 3" xfId="1211" xr:uid="{00000000-0005-0000-0000-0000C3040000}"/>
    <cellStyle name="Normal 86 3 2" xfId="1212" xr:uid="{00000000-0005-0000-0000-0000C4040000}"/>
    <cellStyle name="Normal 86 3 2 2" xfId="1213" xr:uid="{00000000-0005-0000-0000-0000C5040000}"/>
    <cellStyle name="Normal 86 3 3" xfId="1214" xr:uid="{00000000-0005-0000-0000-0000C6040000}"/>
    <cellStyle name="Normal 86 4" xfId="1215" xr:uid="{00000000-0005-0000-0000-0000C7040000}"/>
    <cellStyle name="Normal 86 4 2" xfId="1216" xr:uid="{00000000-0005-0000-0000-0000C8040000}"/>
    <cellStyle name="Normal 86 5" xfId="1217" xr:uid="{00000000-0005-0000-0000-0000C9040000}"/>
    <cellStyle name="Normal 87" xfId="1218" xr:uid="{00000000-0005-0000-0000-0000CA040000}"/>
    <cellStyle name="Normal 87 2" xfId="1219" xr:uid="{00000000-0005-0000-0000-0000CB040000}"/>
    <cellStyle name="Normal 87 2 2" xfId="1220" xr:uid="{00000000-0005-0000-0000-0000CC040000}"/>
    <cellStyle name="Normal 87 2 2 2" xfId="1221" xr:uid="{00000000-0005-0000-0000-0000CD040000}"/>
    <cellStyle name="Normal 87 2 3" xfId="1222" xr:uid="{00000000-0005-0000-0000-0000CE040000}"/>
    <cellStyle name="Normal 87 3" xfId="1223" xr:uid="{00000000-0005-0000-0000-0000CF040000}"/>
    <cellStyle name="Normal 87 3 2" xfId="1224" xr:uid="{00000000-0005-0000-0000-0000D0040000}"/>
    <cellStyle name="Normal 87 3 2 2" xfId="1225" xr:uid="{00000000-0005-0000-0000-0000D1040000}"/>
    <cellStyle name="Normal 87 3 3" xfId="1226" xr:uid="{00000000-0005-0000-0000-0000D2040000}"/>
    <cellStyle name="Normal 87 4" xfId="1227" xr:uid="{00000000-0005-0000-0000-0000D3040000}"/>
    <cellStyle name="Normal 87 4 2" xfId="1228" xr:uid="{00000000-0005-0000-0000-0000D4040000}"/>
    <cellStyle name="Normal 87 5" xfId="1229" xr:uid="{00000000-0005-0000-0000-0000D5040000}"/>
    <cellStyle name="Normal 88" xfId="1230" xr:uid="{00000000-0005-0000-0000-0000D6040000}"/>
    <cellStyle name="Normal 88 2" xfId="1231" xr:uid="{00000000-0005-0000-0000-0000D7040000}"/>
    <cellStyle name="Normal 88 2 2" xfId="1232" xr:uid="{00000000-0005-0000-0000-0000D8040000}"/>
    <cellStyle name="Normal 88 2 2 2" xfId="1233" xr:uid="{00000000-0005-0000-0000-0000D9040000}"/>
    <cellStyle name="Normal 88 2 3" xfId="1234" xr:uid="{00000000-0005-0000-0000-0000DA040000}"/>
    <cellStyle name="Normal 88 3" xfId="1235" xr:uid="{00000000-0005-0000-0000-0000DB040000}"/>
    <cellStyle name="Normal 88 3 2" xfId="1236" xr:uid="{00000000-0005-0000-0000-0000DC040000}"/>
    <cellStyle name="Normal 88 3 2 2" xfId="1237" xr:uid="{00000000-0005-0000-0000-0000DD040000}"/>
    <cellStyle name="Normal 88 3 3" xfId="1238" xr:uid="{00000000-0005-0000-0000-0000DE040000}"/>
    <cellStyle name="Normal 88 4" xfId="1239" xr:uid="{00000000-0005-0000-0000-0000DF040000}"/>
    <cellStyle name="Normal 88 4 2" xfId="1240" xr:uid="{00000000-0005-0000-0000-0000E0040000}"/>
    <cellStyle name="Normal 88 5" xfId="1241" xr:uid="{00000000-0005-0000-0000-0000E1040000}"/>
    <cellStyle name="Normal 89" xfId="1242" xr:uid="{00000000-0005-0000-0000-0000E2040000}"/>
    <cellStyle name="Normal 89 2" xfId="1243" xr:uid="{00000000-0005-0000-0000-0000E3040000}"/>
    <cellStyle name="Normal 89 2 2" xfId="1244" xr:uid="{00000000-0005-0000-0000-0000E4040000}"/>
    <cellStyle name="Normal 89 2 2 2" xfId="1245" xr:uid="{00000000-0005-0000-0000-0000E5040000}"/>
    <cellStyle name="Normal 89 2 3" xfId="1246" xr:uid="{00000000-0005-0000-0000-0000E6040000}"/>
    <cellStyle name="Normal 89 3" xfId="1247" xr:uid="{00000000-0005-0000-0000-0000E7040000}"/>
    <cellStyle name="Normal 89 3 2" xfId="1248" xr:uid="{00000000-0005-0000-0000-0000E8040000}"/>
    <cellStyle name="Normal 89 3 2 2" xfId="1249" xr:uid="{00000000-0005-0000-0000-0000E9040000}"/>
    <cellStyle name="Normal 89 3 3" xfId="1250" xr:uid="{00000000-0005-0000-0000-0000EA040000}"/>
    <cellStyle name="Normal 89 4" xfId="1251" xr:uid="{00000000-0005-0000-0000-0000EB040000}"/>
    <cellStyle name="Normal 89 4 2" xfId="1252" xr:uid="{00000000-0005-0000-0000-0000EC040000}"/>
    <cellStyle name="Normal 89 5" xfId="1253" xr:uid="{00000000-0005-0000-0000-0000ED040000}"/>
    <cellStyle name="Normal 9" xfId="1254" xr:uid="{00000000-0005-0000-0000-0000EE040000}"/>
    <cellStyle name="Normal 9 2" xfId="1255" xr:uid="{00000000-0005-0000-0000-0000EF040000}"/>
    <cellStyle name="Normal 9 2 2" xfId="1256" xr:uid="{00000000-0005-0000-0000-0000F0040000}"/>
    <cellStyle name="Normal 9 2 2 2" xfId="1257" xr:uid="{00000000-0005-0000-0000-0000F1040000}"/>
    <cellStyle name="Normal 9 2 3" xfId="1258" xr:uid="{00000000-0005-0000-0000-0000F2040000}"/>
    <cellStyle name="Normal 9 3" xfId="1259" xr:uid="{00000000-0005-0000-0000-0000F3040000}"/>
    <cellStyle name="Normal 9 3 2" xfId="1260" xr:uid="{00000000-0005-0000-0000-0000F4040000}"/>
    <cellStyle name="Normal 9 3 2 2" xfId="1261" xr:uid="{00000000-0005-0000-0000-0000F5040000}"/>
    <cellStyle name="Normal 9 3 3" xfId="1262" xr:uid="{00000000-0005-0000-0000-0000F6040000}"/>
    <cellStyle name="Normal 9 4" xfId="1263" xr:uid="{00000000-0005-0000-0000-0000F7040000}"/>
    <cellStyle name="Normal 9 4 2" xfId="1264" xr:uid="{00000000-0005-0000-0000-0000F8040000}"/>
    <cellStyle name="Normal 9 5" xfId="1265" xr:uid="{00000000-0005-0000-0000-0000F9040000}"/>
    <cellStyle name="Normal 90" xfId="1266" xr:uid="{00000000-0005-0000-0000-0000FA040000}"/>
    <cellStyle name="Normal 90 2" xfId="1267" xr:uid="{00000000-0005-0000-0000-0000FB040000}"/>
    <cellStyle name="Normal 90 2 2" xfId="1268" xr:uid="{00000000-0005-0000-0000-0000FC040000}"/>
    <cellStyle name="Normal 90 2 2 2" xfId="1269" xr:uid="{00000000-0005-0000-0000-0000FD040000}"/>
    <cellStyle name="Normal 90 2 3" xfId="1270" xr:uid="{00000000-0005-0000-0000-0000FE040000}"/>
    <cellStyle name="Normal 90 3" xfId="1271" xr:uid="{00000000-0005-0000-0000-0000FF040000}"/>
    <cellStyle name="Normal 90 3 2" xfId="1272" xr:uid="{00000000-0005-0000-0000-000000050000}"/>
    <cellStyle name="Normal 90 3 2 2" xfId="1273" xr:uid="{00000000-0005-0000-0000-000001050000}"/>
    <cellStyle name="Normal 90 3 3" xfId="1274" xr:uid="{00000000-0005-0000-0000-000002050000}"/>
    <cellStyle name="Normal 90 4" xfId="1275" xr:uid="{00000000-0005-0000-0000-000003050000}"/>
    <cellStyle name="Normal 90 4 2" xfId="1276" xr:uid="{00000000-0005-0000-0000-000004050000}"/>
    <cellStyle name="Normal 90 5" xfId="1277" xr:uid="{00000000-0005-0000-0000-000005050000}"/>
    <cellStyle name="Normal 91" xfId="1278" xr:uid="{00000000-0005-0000-0000-000006050000}"/>
    <cellStyle name="Normal 91 2" xfId="1279" xr:uid="{00000000-0005-0000-0000-000007050000}"/>
    <cellStyle name="Normal 91 2 2" xfId="1280" xr:uid="{00000000-0005-0000-0000-000008050000}"/>
    <cellStyle name="Normal 91 2 2 2" xfId="1281" xr:uid="{00000000-0005-0000-0000-000009050000}"/>
    <cellStyle name="Normal 91 2 3" xfId="1282" xr:uid="{00000000-0005-0000-0000-00000A050000}"/>
    <cellStyle name="Normal 91 3" xfId="1283" xr:uid="{00000000-0005-0000-0000-00000B050000}"/>
    <cellStyle name="Normal 91 3 2" xfId="1284" xr:uid="{00000000-0005-0000-0000-00000C050000}"/>
    <cellStyle name="Normal 91 3 2 2" xfId="1285" xr:uid="{00000000-0005-0000-0000-00000D050000}"/>
    <cellStyle name="Normal 91 3 3" xfId="1286" xr:uid="{00000000-0005-0000-0000-00000E050000}"/>
    <cellStyle name="Normal 91 4" xfId="1287" xr:uid="{00000000-0005-0000-0000-00000F050000}"/>
    <cellStyle name="Normal 91 4 2" xfId="1288" xr:uid="{00000000-0005-0000-0000-000010050000}"/>
    <cellStyle name="Normal 91 5" xfId="1289" xr:uid="{00000000-0005-0000-0000-000011050000}"/>
    <cellStyle name="Normal 92" xfId="1290" xr:uid="{00000000-0005-0000-0000-000012050000}"/>
    <cellStyle name="Normal 92 2" xfId="1291" xr:uid="{00000000-0005-0000-0000-000013050000}"/>
    <cellStyle name="Normal 92 2 2" xfId="1292" xr:uid="{00000000-0005-0000-0000-000014050000}"/>
    <cellStyle name="Normal 92 2 2 2" xfId="1293" xr:uid="{00000000-0005-0000-0000-000015050000}"/>
    <cellStyle name="Normal 92 2 3" xfId="1294" xr:uid="{00000000-0005-0000-0000-000016050000}"/>
    <cellStyle name="Normal 92 3" xfId="1295" xr:uid="{00000000-0005-0000-0000-000017050000}"/>
    <cellStyle name="Normal 92 3 2" xfId="1296" xr:uid="{00000000-0005-0000-0000-000018050000}"/>
    <cellStyle name="Normal 92 3 2 2" xfId="1297" xr:uid="{00000000-0005-0000-0000-000019050000}"/>
    <cellStyle name="Normal 92 3 3" xfId="1298" xr:uid="{00000000-0005-0000-0000-00001A050000}"/>
    <cellStyle name="Normal 92 4" xfId="1299" xr:uid="{00000000-0005-0000-0000-00001B050000}"/>
    <cellStyle name="Normal 92 4 2" xfId="1300" xr:uid="{00000000-0005-0000-0000-00001C050000}"/>
    <cellStyle name="Normal 92 5" xfId="1301" xr:uid="{00000000-0005-0000-0000-00001D050000}"/>
    <cellStyle name="Normal 93" xfId="1302" xr:uid="{00000000-0005-0000-0000-00001E050000}"/>
    <cellStyle name="Normal 93 2" xfId="1303" xr:uid="{00000000-0005-0000-0000-00001F050000}"/>
    <cellStyle name="Normal 93 2 2" xfId="1304" xr:uid="{00000000-0005-0000-0000-000020050000}"/>
    <cellStyle name="Normal 93 2 2 2" xfId="1305" xr:uid="{00000000-0005-0000-0000-000021050000}"/>
    <cellStyle name="Normal 93 2 3" xfId="1306" xr:uid="{00000000-0005-0000-0000-000022050000}"/>
    <cellStyle name="Normal 93 3" xfId="1307" xr:uid="{00000000-0005-0000-0000-000023050000}"/>
    <cellStyle name="Normal 93 3 2" xfId="1308" xr:uid="{00000000-0005-0000-0000-000024050000}"/>
    <cellStyle name="Normal 93 3 2 2" xfId="1309" xr:uid="{00000000-0005-0000-0000-000025050000}"/>
    <cellStyle name="Normal 93 3 3" xfId="1310" xr:uid="{00000000-0005-0000-0000-000026050000}"/>
    <cellStyle name="Normal 93 4" xfId="1311" xr:uid="{00000000-0005-0000-0000-000027050000}"/>
    <cellStyle name="Normal 93 4 2" xfId="1312" xr:uid="{00000000-0005-0000-0000-000028050000}"/>
    <cellStyle name="Normal 93 5" xfId="1313" xr:uid="{00000000-0005-0000-0000-000029050000}"/>
    <cellStyle name="Normal 94" xfId="1314" xr:uid="{00000000-0005-0000-0000-00002A050000}"/>
    <cellStyle name="Normal 94 2" xfId="1315" xr:uid="{00000000-0005-0000-0000-00002B050000}"/>
    <cellStyle name="Normal 94 2 2" xfId="1316" xr:uid="{00000000-0005-0000-0000-00002C050000}"/>
    <cellStyle name="Normal 94 3" xfId="1317" xr:uid="{00000000-0005-0000-0000-00002D050000}"/>
    <cellStyle name="Normal 95" xfId="1318" xr:uid="{00000000-0005-0000-0000-00002E050000}"/>
    <cellStyle name="Normal 95 2" xfId="1319" xr:uid="{00000000-0005-0000-0000-00002F050000}"/>
    <cellStyle name="Normal 95 3" xfId="1320" xr:uid="{00000000-0005-0000-0000-000030050000}"/>
    <cellStyle name="Normal 95 3 2" xfId="1321" xr:uid="{00000000-0005-0000-0000-000031050000}"/>
    <cellStyle name="Normal 95 3 2 2" xfId="1322" xr:uid="{00000000-0005-0000-0000-000032050000}"/>
    <cellStyle name="Normal 95 3 3" xfId="1323" xr:uid="{00000000-0005-0000-0000-000033050000}"/>
    <cellStyle name="Normal 96" xfId="1324" xr:uid="{00000000-0005-0000-0000-000034050000}"/>
    <cellStyle name="Normal 96 2" xfId="1325" xr:uid="{00000000-0005-0000-0000-000035050000}"/>
    <cellStyle name="Normal 96 2 2" xfId="1326" xr:uid="{00000000-0005-0000-0000-000036050000}"/>
    <cellStyle name="Normal 96 2 2 2" xfId="1327" xr:uid="{00000000-0005-0000-0000-000037050000}"/>
    <cellStyle name="Normal 96 2 3" xfId="1328" xr:uid="{00000000-0005-0000-0000-000038050000}"/>
    <cellStyle name="Normal 96 3" xfId="1329" xr:uid="{00000000-0005-0000-0000-000039050000}"/>
    <cellStyle name="Normal 96 3 2" xfId="1330" xr:uid="{00000000-0005-0000-0000-00003A050000}"/>
    <cellStyle name="Normal 96 4" xfId="1331" xr:uid="{00000000-0005-0000-0000-00003B050000}"/>
    <cellStyle name="Normal 97" xfId="1332" xr:uid="{00000000-0005-0000-0000-00003C050000}"/>
    <cellStyle name="Normal 97 2" xfId="1333" xr:uid="{00000000-0005-0000-0000-00003D050000}"/>
    <cellStyle name="Normal 97 2 2" xfId="1334" xr:uid="{00000000-0005-0000-0000-00003E050000}"/>
    <cellStyle name="Normal 97 3" xfId="1335" xr:uid="{00000000-0005-0000-0000-00003F050000}"/>
    <cellStyle name="Normal 98" xfId="1336" xr:uid="{00000000-0005-0000-0000-000040050000}"/>
    <cellStyle name="Normal 98 2" xfId="1337" xr:uid="{00000000-0005-0000-0000-000041050000}"/>
    <cellStyle name="Normal 98 2 2" xfId="1338" xr:uid="{00000000-0005-0000-0000-000042050000}"/>
    <cellStyle name="Normal 98 2 2 2" xfId="1339" xr:uid="{00000000-0005-0000-0000-000043050000}"/>
    <cellStyle name="Normal 98 2 3" xfId="1340" xr:uid="{00000000-0005-0000-0000-000044050000}"/>
    <cellStyle name="Normal 98 3" xfId="1341" xr:uid="{00000000-0005-0000-0000-000045050000}"/>
    <cellStyle name="Normal 98 3 2" xfId="1342" xr:uid="{00000000-0005-0000-0000-000046050000}"/>
    <cellStyle name="Normal 98 3 2 2" xfId="1343" xr:uid="{00000000-0005-0000-0000-000047050000}"/>
    <cellStyle name="Normal 98 3 3" xfId="1344" xr:uid="{00000000-0005-0000-0000-000048050000}"/>
    <cellStyle name="Normal 98 4" xfId="1345" xr:uid="{00000000-0005-0000-0000-000049050000}"/>
    <cellStyle name="Normal 99" xfId="1346" xr:uid="{00000000-0005-0000-0000-00004A050000}"/>
    <cellStyle name="Normal 99 2" xfId="1347" xr:uid="{00000000-0005-0000-0000-00004B050000}"/>
    <cellStyle name="Normal 99 2 2" xfId="1348" xr:uid="{00000000-0005-0000-0000-00004C050000}"/>
    <cellStyle name="Normal 99 3" xfId="1349" xr:uid="{00000000-0005-0000-0000-00004D050000}"/>
    <cellStyle name="Normal 99 3 2" xfId="1350" xr:uid="{00000000-0005-0000-0000-00004E050000}"/>
    <cellStyle name="Normal 99 3 2 2" xfId="1351" xr:uid="{00000000-0005-0000-0000-00004F050000}"/>
    <cellStyle name="Normal 99 3 3" xfId="1352" xr:uid="{00000000-0005-0000-0000-000050050000}"/>
    <cellStyle name="Normal 99 4" xfId="1353" xr:uid="{00000000-0005-0000-0000-000051050000}"/>
    <cellStyle name="Normal 99 4 2" xfId="1354" xr:uid="{00000000-0005-0000-0000-000052050000}"/>
    <cellStyle name="Normal 99 5" xfId="1355" xr:uid="{00000000-0005-0000-0000-000053050000}"/>
    <cellStyle name="Normal_TasdataSands" xfId="1356" xr:uid="{00000000-0005-0000-0000-000054050000}"/>
    <cellStyle name="Note 2" xfId="1357" xr:uid="{00000000-0005-0000-0000-000055050000}"/>
    <cellStyle name="Output" xfId="1358" builtinId="21" customBuiltin="1"/>
    <cellStyle name="Percent 2" xfId="1359" xr:uid="{00000000-0005-0000-0000-000057050000}"/>
    <cellStyle name="Percent 3" xfId="1365" xr:uid="{00000000-0005-0000-0000-000058050000}"/>
    <cellStyle name="Title" xfId="1360" builtinId="15" customBuiltin="1"/>
    <cellStyle name="Total" xfId="1361" builtinId="25" customBuiltin="1"/>
    <cellStyle name="Warning Text" xfId="136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'SingleSite_Red Alder'!$D$30</c:f>
              <c:strCache>
                <c:ptCount val="1"/>
                <c:pt idx="0">
                  <c:v>Stand volume OB</c:v>
                </c:pt>
              </c:strCache>
            </c:strRef>
          </c:tx>
          <c:spPr>
            <a:ln w="28575">
              <a:noFill/>
            </a:ln>
          </c:spPr>
          <c:xVal>
            <c:numRef>
              <c:f>'SingleSite_Red Alder'!$B$31:$B$559</c:f>
              <c:numCache>
                <c:formatCode>_-* #,##0.0_-;\-* #,##0.0_-;_-* "-"??_-;_-@_-</c:formatCode>
                <c:ptCount val="529"/>
                <c:pt idx="0">
                  <c:v>3</c:v>
                </c:pt>
                <c:pt idx="1">
                  <c:v>26.999999999999886</c:v>
                </c:pt>
              </c:numCache>
            </c:numRef>
          </c:xVal>
          <c:yVal>
            <c:numRef>
              <c:f>'SingleSite_Red Alder'!$D$31:$D$559</c:f>
              <c:numCache>
                <c:formatCode>_-* #,##0.00_-;\-* #,##0.00_-;_-* "-"??_-;_-@_-</c:formatCode>
                <c:ptCount val="529"/>
                <c:pt idx="0">
                  <c:v>1.8524351315308482E-2</c:v>
                </c:pt>
                <c:pt idx="1">
                  <c:v>239.19904581232723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0-4A50-87D8-669AF95D5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091600"/>
        <c:axId val="845091992"/>
      </c:scatterChart>
      <c:valAx>
        <c:axId val="845091600"/>
        <c:scaling>
          <c:orientation val="minMax"/>
        </c:scaling>
        <c:delete val="0"/>
        <c:axPos val="b"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091992"/>
        <c:crosses val="autoZero"/>
        <c:crossBetween val="midCat"/>
      </c:valAx>
      <c:valAx>
        <c:axId val="845091992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0916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'SingleSite_Red Alder'!$F$30</c:f>
              <c:strCache>
                <c:ptCount val="1"/>
                <c:pt idx="0">
                  <c:v>Mean DBH</c:v>
                </c:pt>
              </c:strCache>
            </c:strRef>
          </c:tx>
          <c:xVal>
            <c:numRef>
              <c:f>'SingleSite_Red Alder'!$B$31:$B$709</c:f>
              <c:numCache>
                <c:formatCode>_-* #,##0.0_-;\-* #,##0.0_-;_-* "-"??_-;_-@_-</c:formatCode>
                <c:ptCount val="679"/>
                <c:pt idx="0">
                  <c:v>3</c:v>
                </c:pt>
                <c:pt idx="1">
                  <c:v>26.999999999999886</c:v>
                </c:pt>
              </c:numCache>
            </c:numRef>
          </c:xVal>
          <c:yVal>
            <c:numRef>
              <c:f>'SingleSite_Red Alder'!$F$31:$F$709</c:f>
              <c:numCache>
                <c:formatCode>_-* #,##0.00_-;\-* #,##0.00_-;_-* "-"??_-;_-@_-</c:formatCode>
                <c:ptCount val="679"/>
                <c:pt idx="0">
                  <c:v>1.9909594636601498</c:v>
                </c:pt>
                <c:pt idx="1">
                  <c:v>17.14800295165379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39-45BC-873E-D434478D4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092776"/>
        <c:axId val="845088856"/>
      </c:scatterChart>
      <c:valAx>
        <c:axId val="845092776"/>
        <c:scaling>
          <c:orientation val="minMax"/>
        </c:scaling>
        <c:delete val="0"/>
        <c:axPos val="b"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088856"/>
        <c:crosses val="autoZero"/>
        <c:crossBetween val="midCat"/>
      </c:valAx>
      <c:valAx>
        <c:axId val="845088856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0927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'SingleSite_Red Alder'!$H$30</c:f>
              <c:strCache>
                <c:ptCount val="1"/>
                <c:pt idx="0">
                  <c:v>Stem DM</c:v>
                </c:pt>
              </c:strCache>
            </c:strRef>
          </c:tx>
          <c:spPr>
            <a:ln w="28575">
              <a:noFill/>
            </a:ln>
          </c:spPr>
          <c:xVal>
            <c:numRef>
              <c:f>'SingleSite_Red Alder'!$B$31:$B$789</c:f>
              <c:numCache>
                <c:formatCode>_-* #,##0.0_-;\-* #,##0.0_-;_-* "-"??_-;_-@_-</c:formatCode>
                <c:ptCount val="759"/>
                <c:pt idx="0">
                  <c:v>3</c:v>
                </c:pt>
                <c:pt idx="1">
                  <c:v>26.999999999999886</c:v>
                </c:pt>
              </c:numCache>
            </c:numRef>
          </c:xVal>
          <c:yVal>
            <c:numRef>
              <c:f>'SingleSite_Red Alder'!$H$31:$H$789</c:f>
              <c:numCache>
                <c:formatCode>_-* #,##0.00_-;\-* #,##0.00_-;_-* "-"??_-;_-@_-</c:formatCode>
                <c:ptCount val="759"/>
                <c:pt idx="0">
                  <c:v>3.35668649471558E-2</c:v>
                </c:pt>
                <c:pt idx="1">
                  <c:v>117.64465231000011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0C-445F-A002-61CE626F2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294152"/>
        <c:axId val="513294936"/>
      </c:scatterChart>
      <c:valAx>
        <c:axId val="513294152"/>
        <c:scaling>
          <c:orientation val="minMax"/>
        </c:scaling>
        <c:delete val="0"/>
        <c:axPos val="b"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4936"/>
        <c:crosses val="autoZero"/>
        <c:crossBetween val="midCat"/>
      </c:valAx>
      <c:valAx>
        <c:axId val="513294936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4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'SingleSite_Red Alder'!$G$30</c:f>
              <c:strCache>
                <c:ptCount val="1"/>
                <c:pt idx="0">
                  <c:v>Height</c:v>
                </c:pt>
              </c:strCache>
            </c:strRef>
          </c:tx>
          <c:xVal>
            <c:numRef>
              <c:f>'SingleSite_Red Alder'!$B$31:$B$687</c:f>
              <c:numCache>
                <c:formatCode>_-* #,##0.0_-;\-* #,##0.0_-;_-* "-"??_-;_-@_-</c:formatCode>
                <c:ptCount val="657"/>
                <c:pt idx="0">
                  <c:v>3</c:v>
                </c:pt>
                <c:pt idx="1">
                  <c:v>26.999999999999886</c:v>
                </c:pt>
              </c:numCache>
            </c:numRef>
          </c:xVal>
          <c:yVal>
            <c:numRef>
              <c:f>'SingleSite_Red Alder'!$G$31:$G$687</c:f>
              <c:numCache>
                <c:formatCode>_-* #,##0.00_-;\-* #,##0.00_-;_-* "-"??_-;_-@_-</c:formatCode>
                <c:ptCount val="657"/>
                <c:pt idx="1">
                  <c:v>20.744691729480458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43-4E4C-9AA9-133C9FD89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295328"/>
        <c:axId val="513295720"/>
      </c:scatterChart>
      <c:valAx>
        <c:axId val="513295328"/>
        <c:scaling>
          <c:orientation val="minMax"/>
        </c:scaling>
        <c:delete val="0"/>
        <c:axPos val="b"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5720"/>
        <c:crosses val="autoZero"/>
        <c:crossBetween val="midCat"/>
      </c:valAx>
      <c:valAx>
        <c:axId val="513295720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5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'SingleSite_Red Alder'!$L$30</c:f>
              <c:strCache>
                <c:ptCount val="1"/>
                <c:pt idx="0">
                  <c:v>Penman transp.</c:v>
                </c:pt>
              </c:strCache>
            </c:strRef>
          </c:tx>
          <c:xVal>
            <c:numRef>
              <c:f>'SingleSite_Red Alder'!$B$31:$B$319</c:f>
              <c:numCache>
                <c:formatCode>_-* #,##0.0_-;\-* #,##0.0_-;_-* "-"??_-;_-@_-</c:formatCode>
                <c:ptCount val="289"/>
                <c:pt idx="0">
                  <c:v>3</c:v>
                </c:pt>
                <c:pt idx="1">
                  <c:v>26.999999999999886</c:v>
                </c:pt>
              </c:numCache>
            </c:numRef>
          </c:xVal>
          <c:yVal>
            <c:numRef>
              <c:f>'SingleSite_Red Alder'!$L$31:$L$319</c:f>
              <c:numCache>
                <c:formatCode>_-* #,##0.00_-;\-* #,##0.00_-;_-* "-"??_-;_-@_-</c:formatCode>
                <c:ptCount val="289"/>
                <c:pt idx="1">
                  <c:v>275.68754353858822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771-8F4B-39B16EF57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092776"/>
        <c:axId val="845088856"/>
      </c:scatterChart>
      <c:valAx>
        <c:axId val="845092776"/>
        <c:scaling>
          <c:orientation val="minMax"/>
        </c:scaling>
        <c:delete val="0"/>
        <c:axPos val="b"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088856"/>
        <c:crosses val="autoZero"/>
        <c:crossBetween val="midCat"/>
      </c:valAx>
      <c:valAx>
        <c:axId val="845088856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0927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'SingleSite_Red Alder'!$K$30</c:f>
              <c:strCache>
                <c:ptCount val="1"/>
                <c:pt idx="0">
                  <c:v>Above Ground DM</c:v>
                </c:pt>
              </c:strCache>
            </c:strRef>
          </c:tx>
          <c:xVal>
            <c:numRef>
              <c:f>'SingleSite_Red Alder'!$B$31:$B$697</c:f>
              <c:numCache>
                <c:formatCode>_-* #,##0.0_-;\-* #,##0.0_-;_-* "-"??_-;_-@_-</c:formatCode>
                <c:ptCount val="667"/>
                <c:pt idx="0">
                  <c:v>3</c:v>
                </c:pt>
                <c:pt idx="1">
                  <c:v>26.999999999999886</c:v>
                </c:pt>
              </c:numCache>
            </c:numRef>
          </c:xVal>
          <c:yVal>
            <c:numRef>
              <c:f>'SingleSite_Red Alder'!$K$31:$K$697</c:f>
              <c:numCache>
                <c:formatCode>_-* #,##0.00_-;\-* #,##0.00_-;_-* "-"??_-;_-@_-</c:formatCode>
                <c:ptCount val="667"/>
                <c:pt idx="1">
                  <c:v>117.6639497488281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7A-4778-AD35-BC233911C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295328"/>
        <c:axId val="513295720"/>
      </c:scatterChart>
      <c:valAx>
        <c:axId val="513295328"/>
        <c:scaling>
          <c:orientation val="minMax"/>
        </c:scaling>
        <c:delete val="0"/>
        <c:axPos val="b"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5720"/>
        <c:crosses val="autoZero"/>
        <c:crossBetween val="midCat"/>
      </c:valAx>
      <c:valAx>
        <c:axId val="513295720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5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'SingleSite_Red Alder'!$C$30</c:f>
              <c:strCache>
                <c:ptCount val="1"/>
                <c:pt idx="0">
                  <c:v>Stems</c:v>
                </c:pt>
              </c:strCache>
            </c:strRef>
          </c:tx>
          <c:xVal>
            <c:numRef>
              <c:f>'SingleSite_Red Alder'!$B$31:$B$705</c:f>
              <c:numCache>
                <c:formatCode>_-* #,##0.0_-;\-* #,##0.0_-;_-* "-"??_-;_-@_-</c:formatCode>
                <c:ptCount val="675"/>
                <c:pt idx="0">
                  <c:v>3</c:v>
                </c:pt>
                <c:pt idx="1">
                  <c:v>26.999999999999886</c:v>
                </c:pt>
              </c:numCache>
            </c:numRef>
          </c:xVal>
          <c:yVal>
            <c:numRef>
              <c:f>'SingleSite_Red Alder'!$C$31:$C$705</c:f>
              <c:numCache>
                <c:formatCode>_-* #,##0.0_-;\-* #,##0.0_-;_-* "-"??_-;_-@_-</c:formatCode>
                <c:ptCount val="675"/>
                <c:pt idx="0">
                  <c:v>1378.26</c:v>
                </c:pt>
                <c:pt idx="1">
                  <c:v>1244.9530660216326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46-472A-8AF6-EBAE72844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295328"/>
        <c:axId val="513295720"/>
      </c:scatterChart>
      <c:valAx>
        <c:axId val="513295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5720"/>
        <c:crosses val="autoZero"/>
        <c:crossBetween val="midCat"/>
      </c:valAx>
      <c:valAx>
        <c:axId val="513295720"/>
        <c:scaling>
          <c:orientation val="minMax"/>
        </c:scaling>
        <c:delete val="0"/>
        <c:axPos val="l"/>
        <c:majorGridlines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5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'SingleSite_Red Alder'!$Y$30</c:f>
              <c:strCache>
                <c:ptCount val="1"/>
                <c:pt idx="0">
                  <c:v>Total litter</c:v>
                </c:pt>
              </c:strCache>
            </c:strRef>
          </c:tx>
          <c:xVal>
            <c:numRef>
              <c:f>'SingleSite_Red Alder'!$B$32:$B$537</c:f>
              <c:numCache>
                <c:formatCode>_-* #,##0.0_-;\-* #,##0.0_-;_-* "-"??_-;_-@_-</c:formatCode>
                <c:ptCount val="506"/>
                <c:pt idx="0">
                  <c:v>26.999999999999886</c:v>
                </c:pt>
              </c:numCache>
            </c:numRef>
          </c:xVal>
          <c:yVal>
            <c:numRef>
              <c:f>'SingleSite_Red Alder'!$Y$32:$Y$537</c:f>
              <c:numCache>
                <c:formatCode>General</c:formatCode>
                <c:ptCount val="506"/>
                <c:pt idx="0">
                  <c:v>15.824601034583688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75-4987-B306-F95ECE530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092776"/>
        <c:axId val="845088856"/>
      </c:scatterChart>
      <c:valAx>
        <c:axId val="845092776"/>
        <c:scaling>
          <c:orientation val="minMax"/>
        </c:scaling>
        <c:delete val="0"/>
        <c:axPos val="b"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088856"/>
        <c:crosses val="autoZero"/>
        <c:crossBetween val="midCat"/>
      </c:valAx>
      <c:valAx>
        <c:axId val="845088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0927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'SingleSite_Red Alder'!$J$30</c:f>
              <c:strCache>
                <c:ptCount val="1"/>
                <c:pt idx="0">
                  <c:v>LAI</c:v>
                </c:pt>
              </c:strCache>
            </c:strRef>
          </c:tx>
          <c:xVal>
            <c:numRef>
              <c:f>'SingleSite_Red Alder'!$B$31:$B$697</c:f>
              <c:numCache>
                <c:formatCode>_-* #,##0.0_-;\-* #,##0.0_-;_-* "-"??_-;_-@_-</c:formatCode>
                <c:ptCount val="667"/>
                <c:pt idx="0">
                  <c:v>3</c:v>
                </c:pt>
                <c:pt idx="1">
                  <c:v>26.999999999999886</c:v>
                </c:pt>
              </c:numCache>
            </c:numRef>
          </c:xVal>
          <c:yVal>
            <c:numRef>
              <c:f>'SingleSite_Red Alder'!$J$31:$J$697</c:f>
              <c:numCache>
                <c:formatCode>_-* #,##0.00_-;\-* #,##0.00_-;_-* "-"??_-;_-@_-</c:formatCode>
                <c:ptCount val="667"/>
                <c:pt idx="0">
                  <c:v>2.0082389227528273E-2</c:v>
                </c:pt>
                <c:pt idx="1">
                  <c:v>2.3072139849078694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0F-4523-8D01-C09EA00A6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295328"/>
        <c:axId val="513295720"/>
      </c:scatterChart>
      <c:valAx>
        <c:axId val="513295328"/>
        <c:scaling>
          <c:orientation val="minMax"/>
        </c:scaling>
        <c:delete val="0"/>
        <c:axPos val="b"/>
        <c:numFmt formatCode="_-* #,##0.0_-;\-* #,##0.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5720"/>
        <c:crosses val="autoZero"/>
        <c:crossBetween val="midCat"/>
      </c:valAx>
      <c:valAx>
        <c:axId val="513295720"/>
        <c:scaling>
          <c:orientation val="minMax"/>
          <c:min val="0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3295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704850" y="523875"/>
          <a:ext cx="5229225" cy="1133475"/>
        </a:xfrm>
        <a:prstGeom prst="rect">
          <a:avLst/>
        </a:prstGeom>
        <a:solidFill>
          <a:srgbClr val="FFFFCC"/>
        </a:solidFill>
        <a:ln w="57150" cmpd="thickThin" algn="ctr">
          <a:solidFill>
            <a:srgbClr val="800000"/>
          </a:solidFill>
          <a:miter lim="800000"/>
          <a:headEnd/>
          <a:tailEnd/>
        </a:ln>
        <a:effectLst/>
      </xdr:spPr>
      <xdr:txBody>
        <a:bodyPr vertOverflow="clip" wrap="square" lIns="108000" tIns="46800" rIns="108000" bIns="46800" anchor="t" upright="1"/>
        <a:lstStyle/>
        <a:p>
          <a:pPr algn="l" rtl="0">
            <a:lnSpc>
              <a:spcPts val="400"/>
            </a:lnSpc>
            <a:defRPr sz="1000"/>
          </a:pPr>
          <a:endParaRPr lang="en-US" sz="4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This is an example of a climatic database in </a:t>
          </a:r>
          <a:r>
            <a:rPr lang="en-US" sz="1000" b="1" i="0" strike="noStrike">
              <a:solidFill>
                <a:srgbClr val="000080"/>
              </a:solidFill>
              <a:latin typeface="Arial"/>
              <a:cs typeface="Arial"/>
            </a:rPr>
            <a:t>Table format</a:t>
          </a: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. Tables can be located anywhere on the sheet.</a:t>
          </a:r>
        </a:p>
        <a:p>
          <a:pPr algn="l" rtl="0">
            <a:lnSpc>
              <a:spcPts val="400"/>
            </a:lnSpc>
            <a:defRPr sz="1000"/>
          </a:pPr>
          <a:endParaRPr lang="en-US" sz="4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Two met stations are given here:</a:t>
          </a: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   one provides only long-term mean monthly data - so there are only 12 months of data;</a:t>
          </a:r>
        </a:p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   the second gives actual annual observations for nominated years.</a:t>
          </a:r>
        </a:p>
        <a:p>
          <a:pPr algn="l" rtl="0">
            <a:lnSpc>
              <a:spcPts val="1000"/>
            </a:lnSpc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1828800</xdr:colOff>
          <xdr:row>16</xdr:row>
          <xdr:rowOff>9525</xdr:rowOff>
        </xdr:from>
        <xdr:to>
          <xdr:col>2</xdr:col>
          <xdr:colOff>3048000</xdr:colOff>
          <xdr:row>17</xdr:row>
          <xdr:rowOff>209550</xdr:rowOff>
        </xdr:to>
        <xdr:sp macro="" textlink="">
          <xdr:nvSpPr>
            <xdr:cNvPr id="1025" name="btnInterfc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95250</xdr:colOff>
      <xdr:row>13</xdr:row>
      <xdr:rowOff>38100</xdr:rowOff>
    </xdr:from>
    <xdr:to>
      <xdr:col>28</xdr:col>
      <xdr:colOff>447675</xdr:colOff>
      <xdr:row>28</xdr:row>
      <xdr:rowOff>104775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118111</xdr:colOff>
      <xdr:row>1</xdr:row>
      <xdr:rowOff>9524</xdr:rowOff>
    </xdr:from>
    <xdr:to>
      <xdr:col>54</xdr:col>
      <xdr:colOff>104863</xdr:colOff>
      <xdr:row>6</xdr:row>
      <xdr:rowOff>161949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14805661" y="180974"/>
          <a:ext cx="1729827" cy="1228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57150" cmpd="thickThin" algn="ctr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08000" tIns="46800" rIns="108000" bIns="4680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80"/>
              </a:solidFill>
              <a:latin typeface="Arial"/>
              <a:cs typeface="Arial"/>
            </a:rPr>
            <a:t>Fertility Rating Estimation</a:t>
          </a:r>
        </a:p>
        <a:p>
          <a:pPr algn="l" rtl="0">
            <a:defRPr sz="1000"/>
          </a:pPr>
          <a:endParaRPr lang="en-US" sz="400" b="0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Enter Site Index (m) at base age 25 years to determine FR associated to that SI</a:t>
          </a:r>
          <a:endParaRPr lang="en-US"/>
        </a:p>
      </xdr:txBody>
    </xdr:sp>
    <xdr:clientData/>
  </xdr:twoCellAnchor>
  <xdr:twoCellAnchor>
    <xdr:from>
      <xdr:col>22</xdr:col>
      <xdr:colOff>95250</xdr:colOff>
      <xdr:row>28</xdr:row>
      <xdr:rowOff>180975</xdr:rowOff>
    </xdr:from>
    <xdr:to>
      <xdr:col>28</xdr:col>
      <xdr:colOff>447675</xdr:colOff>
      <xdr:row>41</xdr:row>
      <xdr:rowOff>47625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161925</xdr:colOff>
      <xdr:row>13</xdr:row>
      <xdr:rowOff>66675</xdr:rowOff>
    </xdr:from>
    <xdr:to>
      <xdr:col>37</xdr:col>
      <xdr:colOff>209550</xdr:colOff>
      <xdr:row>28</xdr:row>
      <xdr:rowOff>133350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171450</xdr:colOff>
      <xdr:row>28</xdr:row>
      <xdr:rowOff>180975</xdr:rowOff>
    </xdr:from>
    <xdr:to>
      <xdr:col>37</xdr:col>
      <xdr:colOff>219075</xdr:colOff>
      <xdr:row>41</xdr:row>
      <xdr:rowOff>47625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57150</xdr:colOff>
      <xdr:row>41</xdr:row>
      <xdr:rowOff>114300</xdr:rowOff>
    </xdr:from>
    <xdr:to>
      <xdr:col>22</xdr:col>
      <xdr:colOff>57150</xdr:colOff>
      <xdr:row>57</xdr:row>
      <xdr:rowOff>133350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171450</xdr:colOff>
      <xdr:row>42</xdr:row>
      <xdr:rowOff>0</xdr:rowOff>
    </xdr:from>
    <xdr:to>
      <xdr:col>37</xdr:col>
      <xdr:colOff>219075</xdr:colOff>
      <xdr:row>58</xdr:row>
      <xdr:rowOff>19050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66675</xdr:colOff>
      <xdr:row>13</xdr:row>
      <xdr:rowOff>38100</xdr:rowOff>
    </xdr:from>
    <xdr:to>
      <xdr:col>22</xdr:col>
      <xdr:colOff>57150</xdr:colOff>
      <xdr:row>27</xdr:row>
      <xdr:rowOff>123825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19050</xdr:colOff>
      <xdr:row>41</xdr:row>
      <xdr:rowOff>104775</xdr:rowOff>
    </xdr:from>
    <xdr:to>
      <xdr:col>28</xdr:col>
      <xdr:colOff>371475</xdr:colOff>
      <xdr:row>57</xdr:row>
      <xdr:rowOff>123825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85725</xdr:colOff>
      <xdr:row>28</xdr:row>
      <xdr:rowOff>171450</xdr:rowOff>
    </xdr:from>
    <xdr:to>
      <xdr:col>22</xdr:col>
      <xdr:colOff>85725</xdr:colOff>
      <xdr:row>41</xdr:row>
      <xdr:rowOff>38100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704850" y="523875"/>
          <a:ext cx="5229225" cy="1133475"/>
        </a:xfrm>
        <a:prstGeom prst="rect">
          <a:avLst/>
        </a:prstGeom>
        <a:solidFill>
          <a:srgbClr val="FFFFCC"/>
        </a:solidFill>
        <a:ln w="57150" cmpd="thickThin" algn="ctr">
          <a:solidFill>
            <a:srgbClr val="800000"/>
          </a:solidFill>
          <a:miter lim="800000"/>
          <a:headEnd/>
          <a:tailEnd/>
        </a:ln>
        <a:effectLst/>
      </xdr:spPr>
      <xdr:txBody>
        <a:bodyPr vertOverflow="clip" wrap="square" lIns="108000" tIns="46800" rIns="108000" bIns="46800" anchor="t" upright="1"/>
        <a:lstStyle/>
        <a:p>
          <a:pPr algn="l" rtl="0">
            <a:lnSpc>
              <a:spcPts val="400"/>
            </a:lnSpc>
            <a:defRPr sz="1000"/>
          </a:pPr>
          <a:endParaRPr lang="en-US" sz="4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This is an example of a climatic database in </a:t>
          </a:r>
          <a:r>
            <a:rPr lang="en-US" sz="1000" b="1" i="0" strike="noStrike">
              <a:solidFill>
                <a:srgbClr val="000080"/>
              </a:solidFill>
              <a:latin typeface="Arial"/>
              <a:cs typeface="Arial"/>
            </a:rPr>
            <a:t>Table format</a:t>
          </a: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. Tables can be located anywhere on the sheet.</a:t>
          </a:r>
        </a:p>
        <a:p>
          <a:pPr algn="l" rtl="0">
            <a:lnSpc>
              <a:spcPts val="400"/>
            </a:lnSpc>
            <a:defRPr sz="1000"/>
          </a:pPr>
          <a:endParaRPr lang="en-US" sz="4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Two met stations are given here:</a:t>
          </a: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   one provides only long-term mean monthly data - so there are only 12 months of data;</a:t>
          </a:r>
        </a:p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   the second gives actual annual observations for nominated years.</a:t>
          </a:r>
        </a:p>
        <a:p>
          <a:pPr algn="l" rtl="0">
            <a:lnSpc>
              <a:spcPts val="1000"/>
            </a:lnSpc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2:AX583"/>
  <sheetViews>
    <sheetView topLeftCell="A15" workbookViewId="0">
      <selection activeCell="T33" sqref="T33"/>
    </sheetView>
  </sheetViews>
  <sheetFormatPr defaultColWidth="8.7109375" defaultRowHeight="12.75"/>
  <cols>
    <col min="1" max="1" width="10.5703125" style="114" customWidth="1"/>
    <col min="2" max="2" width="8.7109375" style="114" customWidth="1"/>
    <col min="3" max="19" width="8.7109375" style="115"/>
    <col min="20" max="20" width="10.5703125" style="238" customWidth="1"/>
    <col min="21" max="22" width="8.7109375" style="115"/>
    <col min="23" max="23" width="12.28515625" style="115" bestFit="1" customWidth="1"/>
    <col min="24" max="16384" width="8.7109375" style="115"/>
  </cols>
  <sheetData>
    <row r="2" spans="1:21" ht="15.75">
      <c r="C2" s="205" t="s">
        <v>212</v>
      </c>
      <c r="D2" s="206" t="s">
        <v>213</v>
      </c>
    </row>
    <row r="3" spans="1:21">
      <c r="P3" s="120"/>
      <c r="Q3" s="120"/>
      <c r="R3" s="120"/>
      <c r="S3" s="120"/>
      <c r="T3" s="120"/>
      <c r="U3" s="120"/>
    </row>
    <row r="4" spans="1:21">
      <c r="P4" s="120"/>
      <c r="Q4" s="120"/>
      <c r="R4" s="120"/>
      <c r="S4" s="120"/>
      <c r="T4" s="120"/>
      <c r="U4" s="120"/>
    </row>
    <row r="5" spans="1:21">
      <c r="P5" s="120"/>
      <c r="Q5" s="120"/>
      <c r="R5" s="120"/>
      <c r="S5" s="120"/>
      <c r="T5" s="120"/>
      <c r="U5" s="120"/>
    </row>
    <row r="6" spans="1:21">
      <c r="P6" s="120"/>
      <c r="Q6" s="120"/>
      <c r="R6" s="120"/>
      <c r="S6" s="120"/>
      <c r="T6" s="120"/>
      <c r="U6" s="120"/>
    </row>
    <row r="7" spans="1:21">
      <c r="P7" s="120"/>
      <c r="Q7" s="120"/>
      <c r="R7" s="120"/>
      <c r="S7" s="120"/>
      <c r="T7" s="120"/>
      <c r="U7" s="120"/>
    </row>
    <row r="8" spans="1:21">
      <c r="P8" s="120"/>
      <c r="Q8" s="120"/>
      <c r="R8" s="120"/>
      <c r="S8" s="120"/>
      <c r="T8" s="120"/>
      <c r="U8" s="120"/>
    </row>
    <row r="9" spans="1:21">
      <c r="P9" s="120"/>
      <c r="Q9" s="120"/>
      <c r="R9" s="120"/>
      <c r="S9" s="120"/>
      <c r="T9" s="120"/>
      <c r="U9" s="120"/>
    </row>
    <row r="10" spans="1:21">
      <c r="P10" s="120"/>
      <c r="Q10" s="120"/>
      <c r="R10" s="120"/>
      <c r="S10" s="120"/>
      <c r="T10" s="120"/>
      <c r="U10" s="120"/>
    </row>
    <row r="11" spans="1:21">
      <c r="P11" s="120"/>
      <c r="Q11" s="120"/>
      <c r="R11" s="120"/>
      <c r="S11" s="120"/>
      <c r="T11" s="120"/>
      <c r="U11" s="120"/>
    </row>
    <row r="12" spans="1:21">
      <c r="B12" s="207" t="s">
        <v>214</v>
      </c>
      <c r="M12" s="207"/>
      <c r="P12" s="120"/>
      <c r="Q12" s="120"/>
      <c r="R12" s="120"/>
      <c r="S12" s="120"/>
      <c r="T12" s="120"/>
      <c r="U12" s="120"/>
    </row>
    <row r="13" spans="1:21">
      <c r="B13" s="207" t="s">
        <v>215</v>
      </c>
      <c r="M13" s="207"/>
      <c r="P13" s="120"/>
      <c r="Q13" s="120"/>
      <c r="R13" s="120"/>
      <c r="S13" s="120"/>
      <c r="T13" s="120"/>
      <c r="U13" s="120"/>
    </row>
    <row r="14" spans="1:21">
      <c r="B14" s="207" t="s">
        <v>216</v>
      </c>
      <c r="M14" s="207"/>
      <c r="P14" s="120"/>
      <c r="Q14" s="120"/>
      <c r="R14" s="120"/>
      <c r="S14" s="120"/>
      <c r="T14" s="120"/>
      <c r="U14" s="120"/>
    </row>
    <row r="15" spans="1:21">
      <c r="B15" s="115"/>
      <c r="M15" s="207"/>
    </row>
    <row r="16" spans="1:21">
      <c r="A16" s="275"/>
      <c r="B16" s="275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6"/>
      <c r="N16" s="276"/>
      <c r="O16" s="276"/>
      <c r="P16" s="276"/>
      <c r="Q16" s="276"/>
      <c r="T16" s="237"/>
    </row>
    <row r="17" spans="1:50" ht="25.5">
      <c r="A17" s="270" t="s">
        <v>217</v>
      </c>
      <c r="B17" s="271" t="s">
        <v>352</v>
      </c>
      <c r="C17" s="108"/>
      <c r="D17" s="108"/>
      <c r="E17" s="108"/>
      <c r="F17" s="108"/>
      <c r="G17" s="108"/>
      <c r="H17" s="108"/>
      <c r="I17" s="108"/>
      <c r="J17" s="108"/>
      <c r="K17" s="277" t="s">
        <v>248</v>
      </c>
      <c r="L17" s="107" t="s">
        <v>219</v>
      </c>
      <c r="M17" s="272" t="s">
        <v>39</v>
      </c>
      <c r="N17" s="272" t="s">
        <v>34</v>
      </c>
      <c r="O17" s="272" t="s">
        <v>221</v>
      </c>
      <c r="P17" s="272" t="s">
        <v>220</v>
      </c>
      <c r="Q17" s="272"/>
      <c r="T17" s="239"/>
      <c r="U17" s="209"/>
    </row>
    <row r="18" spans="1:50" s="116" customFormat="1" ht="25.5">
      <c r="A18" s="107" t="s">
        <v>218</v>
      </c>
      <c r="B18" s="107" t="s">
        <v>219</v>
      </c>
      <c r="C18" s="272" t="s">
        <v>39</v>
      </c>
      <c r="D18" s="272" t="s">
        <v>34</v>
      </c>
      <c r="E18" s="272" t="s">
        <v>221</v>
      </c>
      <c r="F18" s="272" t="s">
        <v>220</v>
      </c>
      <c r="G18" s="272"/>
      <c r="H18" s="272"/>
      <c r="I18" s="272"/>
      <c r="J18" s="278"/>
      <c r="K18" s="271" t="s">
        <v>350</v>
      </c>
      <c r="L18" t="s">
        <v>222</v>
      </c>
      <c r="M18">
        <v>7.5</v>
      </c>
      <c r="N18">
        <v>0.2</v>
      </c>
      <c r="O18">
        <v>4.4000000000000004</v>
      </c>
      <c r="P18" s="274">
        <v>210</v>
      </c>
      <c r="Q18" s="108"/>
      <c r="R18" s="211"/>
      <c r="S18" s="115"/>
      <c r="T18" s="236"/>
      <c r="U18" s="210"/>
      <c r="V18" s="211"/>
      <c r="W18" s="211"/>
      <c r="X18" s="211"/>
      <c r="Y18" s="211"/>
      <c r="Z18" s="211"/>
      <c r="AB18" s="236"/>
      <c r="AC18" s="210"/>
      <c r="AD18" s="211"/>
      <c r="AE18" s="211"/>
      <c r="AF18" s="211"/>
      <c r="AG18" s="211"/>
      <c r="AH18" s="211"/>
      <c r="AJ18" s="236"/>
      <c r="AK18" s="210"/>
      <c r="AL18" s="211"/>
      <c r="AM18" s="211"/>
      <c r="AN18" s="211"/>
      <c r="AO18" s="211"/>
      <c r="AP18" s="211"/>
      <c r="AR18" s="236"/>
      <c r="AS18" s="210"/>
      <c r="AT18" s="211"/>
      <c r="AU18" s="211"/>
      <c r="AV18" s="211"/>
      <c r="AW18" s="211"/>
      <c r="AX18" s="211"/>
    </row>
    <row r="19" spans="1:50" ht="15">
      <c r="A19" s="273"/>
      <c r="B19" s="273" t="s">
        <v>222</v>
      </c>
      <c r="C19">
        <v>8.1</v>
      </c>
      <c r="D19">
        <v>0.7</v>
      </c>
      <c r="E19" s="115">
        <v>4.0999999999999996</v>
      </c>
      <c r="F19">
        <v>266</v>
      </c>
      <c r="G19" s="108"/>
      <c r="H19" s="108"/>
      <c r="I19" s="274"/>
      <c r="J19" s="108"/>
      <c r="K19" s="271"/>
      <c r="L19" t="s">
        <v>223</v>
      </c>
      <c r="M19">
        <v>10.4</v>
      </c>
      <c r="N19">
        <v>1.4</v>
      </c>
      <c r="O19">
        <v>7.5</v>
      </c>
      <c r="P19" s="274">
        <v>157</v>
      </c>
      <c r="Q19" s="108"/>
      <c r="V19" s="117"/>
    </row>
    <row r="20" spans="1:50" ht="15">
      <c r="A20" s="273"/>
      <c r="B20" s="273" t="s">
        <v>223</v>
      </c>
      <c r="C20">
        <v>10.6</v>
      </c>
      <c r="D20">
        <v>1.6</v>
      </c>
      <c r="E20" s="115">
        <v>7.2</v>
      </c>
      <c r="F20">
        <v>201</v>
      </c>
      <c r="G20" s="108"/>
      <c r="H20" s="108"/>
      <c r="I20" s="274"/>
      <c r="J20" s="108"/>
      <c r="K20" s="271"/>
      <c r="L20" t="s">
        <v>224</v>
      </c>
      <c r="M20">
        <v>12.5</v>
      </c>
      <c r="N20">
        <v>2</v>
      </c>
      <c r="O20">
        <v>11.1</v>
      </c>
      <c r="P20" s="274">
        <v>149</v>
      </c>
      <c r="Q20" s="108"/>
      <c r="V20" s="117"/>
    </row>
    <row r="21" spans="1:50" ht="15">
      <c r="A21" s="273"/>
      <c r="B21" s="273" t="s">
        <v>224</v>
      </c>
      <c r="C21">
        <v>12.2</v>
      </c>
      <c r="D21">
        <v>2.2999999999999998</v>
      </c>
      <c r="E21" s="115">
        <v>10.8</v>
      </c>
      <c r="F21">
        <v>203</v>
      </c>
      <c r="G21" s="108"/>
      <c r="H21" s="108"/>
      <c r="I21" s="274"/>
      <c r="J21" s="108"/>
      <c r="K21" s="271"/>
      <c r="L21" t="s">
        <v>225</v>
      </c>
      <c r="M21">
        <v>15.2</v>
      </c>
      <c r="N21">
        <v>3.3</v>
      </c>
      <c r="O21">
        <v>15.3</v>
      </c>
      <c r="P21" s="274">
        <v>80</v>
      </c>
      <c r="Q21" s="108"/>
      <c r="V21" s="117"/>
    </row>
    <row r="22" spans="1:50" ht="15">
      <c r="A22" s="273"/>
      <c r="B22" s="273" t="s">
        <v>225</v>
      </c>
      <c r="C22">
        <v>14.7</v>
      </c>
      <c r="D22">
        <v>3.3</v>
      </c>
      <c r="E22" s="115">
        <v>14.9</v>
      </c>
      <c r="F22">
        <v>131</v>
      </c>
      <c r="G22" s="108"/>
      <c r="H22" s="108"/>
      <c r="I22" s="274"/>
      <c r="J22" s="108"/>
      <c r="K22" s="271"/>
      <c r="L22" t="s">
        <v>226</v>
      </c>
      <c r="M22">
        <v>18.8</v>
      </c>
      <c r="N22">
        <v>5.7</v>
      </c>
      <c r="O22">
        <v>19.2</v>
      </c>
      <c r="P22" s="274">
        <v>54</v>
      </c>
      <c r="Q22" s="108"/>
      <c r="V22" s="117"/>
    </row>
    <row r="23" spans="1:50" ht="15">
      <c r="A23" s="273"/>
      <c r="B23" s="273" t="s">
        <v>226</v>
      </c>
      <c r="C23">
        <v>17.8</v>
      </c>
      <c r="D23">
        <v>5.6</v>
      </c>
      <c r="E23" s="115">
        <v>18.899999999999999</v>
      </c>
      <c r="F23">
        <v>81</v>
      </c>
      <c r="G23" s="108"/>
      <c r="H23" s="108"/>
      <c r="I23" s="274"/>
      <c r="J23" s="108"/>
      <c r="K23" s="271"/>
      <c r="L23" t="s">
        <v>227</v>
      </c>
      <c r="M23">
        <v>22.7</v>
      </c>
      <c r="N23">
        <v>8.8000000000000007</v>
      </c>
      <c r="O23">
        <v>21.7</v>
      </c>
      <c r="P23" s="274">
        <v>32</v>
      </c>
      <c r="Q23" s="108"/>
      <c r="V23" s="117"/>
    </row>
    <row r="24" spans="1:50" ht="15">
      <c r="A24" s="273"/>
      <c r="B24" s="273" t="s">
        <v>227</v>
      </c>
      <c r="C24">
        <v>20.399999999999999</v>
      </c>
      <c r="D24">
        <v>8.4</v>
      </c>
      <c r="E24" s="116">
        <v>21.4</v>
      </c>
      <c r="F24">
        <v>60</v>
      </c>
      <c r="G24" s="108"/>
      <c r="H24" s="108"/>
      <c r="I24" s="274"/>
      <c r="J24" s="108"/>
      <c r="K24" s="271"/>
      <c r="L24" t="s">
        <v>228</v>
      </c>
      <c r="M24">
        <v>26.4</v>
      </c>
      <c r="N24">
        <v>9.8000000000000007</v>
      </c>
      <c r="O24">
        <v>24.1</v>
      </c>
      <c r="P24" s="274">
        <v>12</v>
      </c>
      <c r="Q24" s="108"/>
      <c r="V24" s="117"/>
    </row>
    <row r="25" spans="1:50" ht="15">
      <c r="A25" s="273"/>
      <c r="B25" s="273" t="s">
        <v>228</v>
      </c>
      <c r="C25">
        <v>23.2</v>
      </c>
      <c r="D25">
        <v>9.5</v>
      </c>
      <c r="E25" s="115">
        <v>23.8</v>
      </c>
      <c r="F25">
        <v>24</v>
      </c>
      <c r="G25" s="108"/>
      <c r="H25" s="108"/>
      <c r="I25" s="274"/>
      <c r="J25" s="108"/>
      <c r="K25" s="271"/>
      <c r="L25" t="s">
        <v>229</v>
      </c>
      <c r="M25">
        <v>26.4</v>
      </c>
      <c r="N25">
        <v>10.1</v>
      </c>
      <c r="O25">
        <v>21.1</v>
      </c>
      <c r="P25" s="274">
        <v>19</v>
      </c>
      <c r="Q25" s="108"/>
      <c r="V25" s="117"/>
    </row>
    <row r="26" spans="1:50" ht="15">
      <c r="A26" s="273"/>
      <c r="B26" s="273" t="s">
        <v>229</v>
      </c>
      <c r="C26">
        <v>23.5</v>
      </c>
      <c r="D26">
        <v>9.8000000000000007</v>
      </c>
      <c r="E26" s="115">
        <v>20.8</v>
      </c>
      <c r="F26">
        <v>29</v>
      </c>
      <c r="G26" s="108"/>
      <c r="H26" s="108"/>
      <c r="I26" s="274"/>
      <c r="J26" s="108"/>
      <c r="K26" s="271"/>
      <c r="L26" t="s">
        <v>230</v>
      </c>
      <c r="M26">
        <v>23.5</v>
      </c>
      <c r="N26">
        <v>8.5</v>
      </c>
      <c r="O26">
        <v>16.100000000000001</v>
      </c>
      <c r="P26" s="274">
        <v>42</v>
      </c>
      <c r="Q26" s="108"/>
      <c r="V26" s="117"/>
    </row>
    <row r="27" spans="1:50" ht="15">
      <c r="A27" s="273"/>
      <c r="B27" s="273" t="s">
        <v>230</v>
      </c>
      <c r="C27">
        <v>22.4</v>
      </c>
      <c r="D27">
        <v>8.4</v>
      </c>
      <c r="E27" s="115">
        <v>15.7</v>
      </c>
      <c r="F27">
        <v>64</v>
      </c>
      <c r="G27" s="108"/>
      <c r="H27" s="108"/>
      <c r="I27" s="274"/>
      <c r="J27" s="108"/>
      <c r="K27" s="271"/>
      <c r="L27" t="s">
        <v>231</v>
      </c>
      <c r="M27">
        <v>17.5</v>
      </c>
      <c r="N27">
        <v>5.7</v>
      </c>
      <c r="O27">
        <v>9.1</v>
      </c>
      <c r="P27" s="274">
        <v>90</v>
      </c>
      <c r="Q27" s="108"/>
      <c r="V27" s="117"/>
    </row>
    <row r="28" spans="1:50" ht="15">
      <c r="A28" s="273"/>
      <c r="B28" s="273" t="s">
        <v>231</v>
      </c>
      <c r="C28">
        <v>17.8</v>
      </c>
      <c r="D28">
        <v>5.9</v>
      </c>
      <c r="E28" s="115">
        <v>8.6999999999999993</v>
      </c>
      <c r="F28">
        <v>120</v>
      </c>
      <c r="G28" s="108"/>
      <c r="H28" s="108"/>
      <c r="I28" s="274"/>
      <c r="J28" s="108"/>
      <c r="K28" s="271"/>
      <c r="L28" t="s">
        <v>232</v>
      </c>
      <c r="M28">
        <v>11.4</v>
      </c>
      <c r="N28">
        <v>3.1</v>
      </c>
      <c r="O28">
        <v>4.8</v>
      </c>
      <c r="P28" s="274">
        <v>208</v>
      </c>
      <c r="Q28" s="108"/>
      <c r="V28" s="117"/>
    </row>
    <row r="29" spans="1:50" ht="15">
      <c r="A29" s="273"/>
      <c r="B29" s="273" t="s">
        <v>232</v>
      </c>
      <c r="C29">
        <v>11.7</v>
      </c>
      <c r="D29">
        <v>3.5</v>
      </c>
      <c r="E29" s="115">
        <v>4.4000000000000004</v>
      </c>
      <c r="F29">
        <v>263</v>
      </c>
      <c r="G29" s="108"/>
      <c r="H29" s="108"/>
      <c r="I29" s="274"/>
      <c r="J29" s="108"/>
      <c r="K29" s="279"/>
      <c r="L29" t="s">
        <v>233</v>
      </c>
      <c r="M29">
        <v>7.9</v>
      </c>
      <c r="N29">
        <v>1.2</v>
      </c>
      <c r="O29">
        <v>3.5</v>
      </c>
      <c r="P29" s="274">
        <v>249</v>
      </c>
      <c r="Q29" s="108"/>
      <c r="V29" s="117"/>
    </row>
    <row r="30" spans="1:50" ht="15">
      <c r="A30" s="273"/>
      <c r="B30" s="273" t="s">
        <v>233</v>
      </c>
      <c r="C30">
        <v>8.4</v>
      </c>
      <c r="D30">
        <v>1.5</v>
      </c>
      <c r="E30" s="115">
        <v>3.2</v>
      </c>
      <c r="F30">
        <v>302</v>
      </c>
      <c r="G30" s="108"/>
      <c r="H30" s="108"/>
      <c r="I30" s="274"/>
      <c r="J30" s="108"/>
      <c r="K30" s="271" t="s">
        <v>351</v>
      </c>
      <c r="L30" t="s">
        <v>222</v>
      </c>
      <c r="M30">
        <v>7.5</v>
      </c>
      <c r="N30">
        <v>0</v>
      </c>
      <c r="O30" s="108">
        <v>4.5999999999999996</v>
      </c>
      <c r="P30">
        <v>264</v>
      </c>
      <c r="V30" s="117"/>
    </row>
    <row r="31" spans="1:50" ht="15">
      <c r="A31" s="273"/>
      <c r="B31" s="273"/>
      <c r="C31" s="108"/>
      <c r="D31" s="108"/>
      <c r="E31" s="108"/>
      <c r="F31" s="108"/>
      <c r="G31" s="108"/>
      <c r="H31" s="108"/>
      <c r="I31" s="108"/>
      <c r="J31" s="108"/>
      <c r="K31" s="271"/>
      <c r="L31" t="s">
        <v>223</v>
      </c>
      <c r="M31">
        <v>10.1</v>
      </c>
      <c r="N31">
        <v>0.9</v>
      </c>
      <c r="O31" s="108">
        <v>7.4</v>
      </c>
      <c r="P31">
        <v>196</v>
      </c>
    </row>
    <row r="32" spans="1:50" ht="15">
      <c r="A32" s="273"/>
      <c r="B32" s="273"/>
      <c r="C32" s="108"/>
      <c r="D32" s="108"/>
      <c r="E32" s="108"/>
      <c r="F32" s="108"/>
      <c r="G32" s="108"/>
      <c r="H32" s="108"/>
      <c r="I32" s="108"/>
      <c r="J32" s="108"/>
      <c r="K32" s="271"/>
      <c r="L32" t="s">
        <v>224</v>
      </c>
      <c r="M32">
        <v>12.1</v>
      </c>
      <c r="N32">
        <v>1.5</v>
      </c>
      <c r="O32" s="108">
        <v>10.9</v>
      </c>
      <c r="P32">
        <v>199</v>
      </c>
    </row>
    <row r="33" spans="1:20" ht="15">
      <c r="A33" s="273"/>
      <c r="B33" s="273"/>
      <c r="C33" s="108"/>
      <c r="D33" s="108"/>
      <c r="E33" s="108"/>
      <c r="F33" s="108"/>
      <c r="G33" s="108"/>
      <c r="H33" s="108"/>
      <c r="I33" s="108"/>
      <c r="J33" s="108"/>
      <c r="K33" s="271"/>
      <c r="L33" t="s">
        <v>225</v>
      </c>
      <c r="M33">
        <v>14.9</v>
      </c>
      <c r="N33">
        <v>2.7</v>
      </c>
      <c r="O33" s="108">
        <v>15.2</v>
      </c>
      <c r="P33">
        <v>126</v>
      </c>
    </row>
    <row r="34" spans="1:20" ht="15">
      <c r="A34" s="273"/>
      <c r="B34" s="273"/>
      <c r="C34" s="108"/>
      <c r="D34" s="108"/>
      <c r="E34" s="108"/>
      <c r="F34" s="108"/>
      <c r="G34" s="108"/>
      <c r="H34" s="108"/>
      <c r="I34" s="108"/>
      <c r="J34" s="108"/>
      <c r="K34" s="271"/>
      <c r="L34" t="s">
        <v>226</v>
      </c>
      <c r="M34">
        <v>18.5</v>
      </c>
      <c r="N34">
        <v>5</v>
      </c>
      <c r="O34" s="108">
        <v>19.2</v>
      </c>
      <c r="P34">
        <v>75</v>
      </c>
    </row>
    <row r="35" spans="1:20" s="116" customFormat="1" ht="15">
      <c r="A35" s="278"/>
      <c r="B35" s="278"/>
      <c r="C35" s="278"/>
      <c r="D35" s="278"/>
      <c r="E35" s="278"/>
      <c r="F35" s="278"/>
      <c r="G35" s="278"/>
      <c r="H35" s="278"/>
      <c r="I35" s="278"/>
      <c r="J35" s="278"/>
      <c r="K35" s="271"/>
      <c r="L35" t="s">
        <v>227</v>
      </c>
      <c r="M35">
        <v>22</v>
      </c>
      <c r="N35">
        <v>7.9</v>
      </c>
      <c r="O35" s="108">
        <v>21.8</v>
      </c>
      <c r="P35">
        <v>54</v>
      </c>
      <c r="T35" s="238"/>
    </row>
    <row r="36" spans="1:20" ht="15">
      <c r="A36" s="273"/>
      <c r="B36" s="273"/>
      <c r="C36" s="108"/>
      <c r="D36" s="108"/>
      <c r="E36" s="108"/>
      <c r="F36" s="108"/>
      <c r="G36" s="108"/>
      <c r="H36" s="108"/>
      <c r="I36" s="108"/>
      <c r="J36" s="108"/>
      <c r="K36" s="271"/>
      <c r="L36" t="s">
        <v>228</v>
      </c>
      <c r="M36">
        <v>25.6</v>
      </c>
      <c r="N36">
        <v>9.1</v>
      </c>
      <c r="O36" s="108">
        <v>24.1</v>
      </c>
      <c r="P36">
        <v>22</v>
      </c>
    </row>
    <row r="37" spans="1:20" ht="15">
      <c r="A37" s="273"/>
      <c r="B37" s="273"/>
      <c r="C37" s="108"/>
      <c r="D37" s="108"/>
      <c r="E37" s="108"/>
      <c r="F37" s="108"/>
      <c r="G37" s="108"/>
      <c r="H37" s="108"/>
      <c r="I37" s="108"/>
      <c r="J37" s="108"/>
      <c r="K37" s="271"/>
      <c r="L37" t="s">
        <v>229</v>
      </c>
      <c r="M37">
        <v>25.7</v>
      </c>
      <c r="N37">
        <v>9.5</v>
      </c>
      <c r="O37" s="108">
        <v>21</v>
      </c>
      <c r="P37">
        <v>28</v>
      </c>
    </row>
    <row r="38" spans="1:20" ht="15">
      <c r="A38" s="273"/>
      <c r="B38" s="273"/>
      <c r="C38" s="108"/>
      <c r="D38" s="108"/>
      <c r="E38" s="108"/>
      <c r="F38" s="108"/>
      <c r="G38" s="108"/>
      <c r="H38" s="108"/>
      <c r="I38" s="108"/>
      <c r="J38" s="108"/>
      <c r="K38" s="271"/>
      <c r="L38" t="s">
        <v>230</v>
      </c>
      <c r="M38">
        <v>23.2</v>
      </c>
      <c r="N38">
        <v>7.9</v>
      </c>
      <c r="O38" s="108">
        <v>15.8</v>
      </c>
      <c r="P38">
        <v>62</v>
      </c>
    </row>
    <row r="39" spans="1:20" ht="15">
      <c r="A39" s="273"/>
      <c r="B39" s="273"/>
      <c r="C39" s="108"/>
      <c r="D39" s="108"/>
      <c r="E39" s="108"/>
      <c r="F39" s="108"/>
      <c r="G39" s="108"/>
      <c r="H39" s="108"/>
      <c r="I39" s="108"/>
      <c r="J39" s="108"/>
      <c r="K39" s="271"/>
      <c r="L39" t="s">
        <v>231</v>
      </c>
      <c r="M39">
        <v>17.5</v>
      </c>
      <c r="N39">
        <v>5.3</v>
      </c>
      <c r="O39" s="108">
        <v>8.8000000000000007</v>
      </c>
      <c r="P39">
        <v>116</v>
      </c>
    </row>
    <row r="40" spans="1:20" ht="15">
      <c r="A40" s="273"/>
      <c r="B40" s="273"/>
      <c r="C40" s="108"/>
      <c r="D40" s="108"/>
      <c r="E40" s="108"/>
      <c r="F40" s="108"/>
      <c r="G40" s="108"/>
      <c r="H40" s="108"/>
      <c r="I40" s="108"/>
      <c r="J40" s="108"/>
      <c r="K40" s="271"/>
      <c r="L40" t="s">
        <v>232</v>
      </c>
      <c r="M40">
        <v>11.2</v>
      </c>
      <c r="N40">
        <v>2.8</v>
      </c>
      <c r="O40" s="108">
        <v>4.8</v>
      </c>
      <c r="P40">
        <v>266</v>
      </c>
    </row>
    <row r="41" spans="1:20" ht="15">
      <c r="A41" s="273"/>
      <c r="B41" s="273"/>
      <c r="C41" s="108"/>
      <c r="D41" s="108"/>
      <c r="E41" s="108"/>
      <c r="F41" s="108"/>
      <c r="G41" s="108"/>
      <c r="H41" s="108"/>
      <c r="I41" s="108"/>
      <c r="J41" s="108"/>
      <c r="K41" s="279"/>
      <c r="L41" t="s">
        <v>233</v>
      </c>
      <c r="M41">
        <v>7.7</v>
      </c>
      <c r="N41">
        <v>0.8</v>
      </c>
      <c r="O41" s="108">
        <v>3.5</v>
      </c>
      <c r="P41">
        <v>301</v>
      </c>
    </row>
    <row r="42" spans="1:20" ht="15">
      <c r="A42" s="273"/>
      <c r="B42" s="273"/>
      <c r="C42" s="108"/>
      <c r="D42" s="108"/>
      <c r="E42" s="108"/>
      <c r="F42" s="108"/>
      <c r="G42" s="108"/>
      <c r="H42" s="108"/>
      <c r="I42" s="108"/>
      <c r="J42" s="108"/>
      <c r="K42" s="271" t="s">
        <v>352</v>
      </c>
      <c r="L42" t="s">
        <v>222</v>
      </c>
      <c r="M42">
        <v>8.1</v>
      </c>
      <c r="N42">
        <v>0.7</v>
      </c>
      <c r="O42" s="115">
        <v>4.0999999999999996</v>
      </c>
      <c r="P42">
        <v>266</v>
      </c>
      <c r="Q42" s="108"/>
    </row>
    <row r="43" spans="1:20" ht="15">
      <c r="A43" s="273"/>
      <c r="B43" s="273"/>
      <c r="C43" s="108"/>
      <c r="D43" s="108"/>
      <c r="E43" s="108"/>
      <c r="F43" s="108"/>
      <c r="G43" s="108"/>
      <c r="H43" s="108"/>
      <c r="I43" s="108"/>
      <c r="J43" s="108"/>
      <c r="K43" s="271"/>
      <c r="L43" t="s">
        <v>223</v>
      </c>
      <c r="M43">
        <v>10.6</v>
      </c>
      <c r="N43">
        <v>1.6</v>
      </c>
      <c r="O43" s="115">
        <v>7.2</v>
      </c>
      <c r="P43">
        <v>201</v>
      </c>
      <c r="Q43" s="108"/>
    </row>
    <row r="44" spans="1:20" ht="15">
      <c r="A44" s="273"/>
      <c r="B44" s="273"/>
      <c r="C44" s="108"/>
      <c r="D44" s="108"/>
      <c r="E44" s="108"/>
      <c r="F44" s="108"/>
      <c r="G44" s="108"/>
      <c r="H44" s="108"/>
      <c r="I44" s="108"/>
      <c r="J44" s="108"/>
      <c r="K44" s="271"/>
      <c r="L44" t="s">
        <v>224</v>
      </c>
      <c r="M44">
        <v>12.2</v>
      </c>
      <c r="N44">
        <v>2.2999999999999998</v>
      </c>
      <c r="O44" s="115">
        <v>10.8</v>
      </c>
      <c r="P44">
        <v>203</v>
      </c>
      <c r="Q44" s="108"/>
    </row>
    <row r="45" spans="1:20" ht="15">
      <c r="A45" s="273"/>
      <c r="B45" s="273"/>
      <c r="C45" s="108"/>
      <c r="D45" s="108"/>
      <c r="E45" s="108"/>
      <c r="F45" s="108"/>
      <c r="G45" s="108"/>
      <c r="H45" s="108"/>
      <c r="I45" s="108"/>
      <c r="J45" s="108"/>
      <c r="K45" s="271"/>
      <c r="L45" t="s">
        <v>225</v>
      </c>
      <c r="M45">
        <v>14.7</v>
      </c>
      <c r="N45">
        <v>3.3</v>
      </c>
      <c r="O45" s="115">
        <v>14.9</v>
      </c>
      <c r="P45">
        <v>131</v>
      </c>
      <c r="Q45" s="108"/>
    </row>
    <row r="46" spans="1:20" ht="15">
      <c r="A46" s="273"/>
      <c r="B46" s="273"/>
      <c r="C46" s="108"/>
      <c r="D46" s="108"/>
      <c r="E46" s="108"/>
      <c r="F46" s="108"/>
      <c r="G46" s="108"/>
      <c r="H46" s="108"/>
      <c r="I46" s="108"/>
      <c r="J46" s="108"/>
      <c r="K46" s="271"/>
      <c r="L46" t="s">
        <v>226</v>
      </c>
      <c r="M46">
        <v>17.8</v>
      </c>
      <c r="N46">
        <v>5.6</v>
      </c>
      <c r="O46" s="115">
        <v>18.899999999999999</v>
      </c>
      <c r="P46">
        <v>81</v>
      </c>
      <c r="Q46" s="108"/>
    </row>
    <row r="47" spans="1:20" ht="15">
      <c r="A47" s="273"/>
      <c r="B47" s="273"/>
      <c r="C47" s="108"/>
      <c r="D47" s="108"/>
      <c r="E47" s="108"/>
      <c r="F47" s="108"/>
      <c r="G47" s="108"/>
      <c r="H47" s="108"/>
      <c r="I47" s="108"/>
      <c r="J47" s="108"/>
      <c r="K47" s="271"/>
      <c r="L47" t="s">
        <v>227</v>
      </c>
      <c r="M47">
        <v>20.399999999999999</v>
      </c>
      <c r="N47">
        <v>8.4</v>
      </c>
      <c r="O47" s="116">
        <v>21.4</v>
      </c>
      <c r="P47">
        <v>60</v>
      </c>
      <c r="Q47" s="108"/>
      <c r="T47" s="240"/>
    </row>
    <row r="48" spans="1:20" ht="15">
      <c r="A48" s="273"/>
      <c r="B48" s="273"/>
      <c r="C48" s="108"/>
      <c r="D48" s="108"/>
      <c r="E48" s="108"/>
      <c r="F48" s="108"/>
      <c r="G48" s="108"/>
      <c r="H48" s="108"/>
      <c r="I48" s="108"/>
      <c r="J48" s="108"/>
      <c r="K48" s="271"/>
      <c r="L48" t="s">
        <v>228</v>
      </c>
      <c r="M48">
        <v>23.2</v>
      </c>
      <c r="N48">
        <v>9.5</v>
      </c>
      <c r="O48" s="115">
        <v>23.8</v>
      </c>
      <c r="P48">
        <v>24</v>
      </c>
      <c r="Q48" s="108"/>
    </row>
    <row r="49" spans="1:17" ht="15">
      <c r="A49" s="273"/>
      <c r="B49" s="273"/>
      <c r="C49" s="108"/>
      <c r="D49" s="108"/>
      <c r="E49" s="108"/>
      <c r="F49" s="108"/>
      <c r="G49" s="108"/>
      <c r="H49" s="108"/>
      <c r="I49" s="108"/>
      <c r="J49" s="108"/>
      <c r="K49" s="271"/>
      <c r="L49" t="s">
        <v>229</v>
      </c>
      <c r="M49">
        <v>23.5</v>
      </c>
      <c r="N49">
        <v>9.8000000000000007</v>
      </c>
      <c r="O49" s="115">
        <v>20.8</v>
      </c>
      <c r="P49">
        <v>29</v>
      </c>
      <c r="Q49" s="108"/>
    </row>
    <row r="50" spans="1:17" ht="15">
      <c r="A50" s="273"/>
      <c r="B50" s="273"/>
      <c r="C50" s="108"/>
      <c r="D50" s="108"/>
      <c r="E50" s="108"/>
      <c r="F50" s="108"/>
      <c r="G50" s="108"/>
      <c r="H50" s="108"/>
      <c r="I50" s="108"/>
      <c r="J50" s="108"/>
      <c r="K50" s="271"/>
      <c r="L50" t="s">
        <v>230</v>
      </c>
      <c r="M50">
        <v>22.4</v>
      </c>
      <c r="N50">
        <v>8.4</v>
      </c>
      <c r="O50" s="115">
        <v>15.7</v>
      </c>
      <c r="P50">
        <v>64</v>
      </c>
      <c r="Q50" s="108"/>
    </row>
    <row r="51" spans="1:17" ht="15">
      <c r="A51" s="273"/>
      <c r="B51" s="273"/>
      <c r="C51" s="108"/>
      <c r="D51" s="108"/>
      <c r="E51" s="108"/>
      <c r="F51" s="108"/>
      <c r="G51" s="108"/>
      <c r="H51" s="108"/>
      <c r="I51" s="108"/>
      <c r="J51" s="108"/>
      <c r="K51" s="271"/>
      <c r="L51" t="s">
        <v>231</v>
      </c>
      <c r="M51">
        <v>17.8</v>
      </c>
      <c r="N51">
        <v>5.9</v>
      </c>
      <c r="O51" s="115">
        <v>8.6999999999999993</v>
      </c>
      <c r="P51">
        <v>120</v>
      </c>
      <c r="Q51" s="108"/>
    </row>
    <row r="52" spans="1:17" ht="15">
      <c r="A52" s="273"/>
      <c r="B52" s="273"/>
      <c r="C52" s="108"/>
      <c r="D52" s="108"/>
      <c r="E52" s="108"/>
      <c r="F52" s="108"/>
      <c r="G52" s="108"/>
      <c r="H52" s="108"/>
      <c r="I52" s="108"/>
      <c r="J52" s="108"/>
      <c r="K52" s="271"/>
      <c r="L52" t="s">
        <v>232</v>
      </c>
      <c r="M52">
        <v>11.7</v>
      </c>
      <c r="N52">
        <v>3.5</v>
      </c>
      <c r="O52" s="115">
        <v>4.4000000000000004</v>
      </c>
      <c r="P52">
        <v>263</v>
      </c>
      <c r="Q52" s="108"/>
    </row>
    <row r="53" spans="1:17" ht="15">
      <c r="A53" s="273"/>
      <c r="B53" s="273"/>
      <c r="C53" s="108"/>
      <c r="D53" s="108"/>
      <c r="E53" s="108"/>
      <c r="F53" s="108"/>
      <c r="G53" s="108"/>
      <c r="H53" s="108"/>
      <c r="I53" s="108"/>
      <c r="J53" s="108"/>
      <c r="K53" s="279"/>
      <c r="L53" t="s">
        <v>233</v>
      </c>
      <c r="M53">
        <v>8.4</v>
      </c>
      <c r="N53">
        <v>1.5</v>
      </c>
      <c r="O53" s="115">
        <v>3.2</v>
      </c>
      <c r="P53">
        <v>302</v>
      </c>
      <c r="Q53" s="108"/>
    </row>
    <row r="54" spans="1:17" ht="15">
      <c r="A54" s="273"/>
      <c r="B54" s="273"/>
      <c r="C54" s="108"/>
      <c r="D54" s="108"/>
      <c r="E54" s="108"/>
      <c r="F54" s="108"/>
      <c r="G54" s="108"/>
      <c r="H54" s="108"/>
      <c r="I54" s="108"/>
      <c r="J54" s="108"/>
      <c r="K54" s="271"/>
      <c r="L54"/>
      <c r="M54"/>
      <c r="N54"/>
      <c r="O54"/>
      <c r="P54" s="274"/>
      <c r="Q54" s="108"/>
    </row>
    <row r="55" spans="1:17" ht="15">
      <c r="A55" s="273"/>
      <c r="B55" s="273"/>
      <c r="C55" s="108"/>
      <c r="D55" s="108"/>
      <c r="E55" s="108"/>
      <c r="F55" s="108"/>
      <c r="G55" s="108"/>
      <c r="H55" s="108"/>
      <c r="I55" s="108"/>
      <c r="J55" s="108"/>
      <c r="K55" s="271"/>
      <c r="L55"/>
      <c r="M55"/>
      <c r="N55"/>
      <c r="O55"/>
      <c r="P55" s="274"/>
      <c r="Q55" s="108"/>
    </row>
    <row r="56" spans="1:17" ht="15">
      <c r="A56" s="273"/>
      <c r="B56" s="273"/>
      <c r="C56" s="108"/>
      <c r="D56" s="108"/>
      <c r="E56" s="108"/>
      <c r="F56" s="108"/>
      <c r="G56" s="108"/>
      <c r="H56" s="108"/>
      <c r="I56" s="108"/>
      <c r="J56" s="108"/>
      <c r="K56" s="271"/>
      <c r="L56"/>
      <c r="M56"/>
      <c r="N56"/>
      <c r="O56"/>
      <c r="P56" s="274"/>
      <c r="Q56" s="108"/>
    </row>
    <row r="57" spans="1:17" ht="15">
      <c r="A57" s="273"/>
      <c r="B57" s="273"/>
      <c r="C57" s="108"/>
      <c r="D57" s="108"/>
      <c r="E57" s="108"/>
      <c r="F57" s="108"/>
      <c r="G57" s="108"/>
      <c r="H57" s="108"/>
      <c r="I57" s="108"/>
      <c r="J57" s="108"/>
      <c r="K57" s="271"/>
      <c r="L57"/>
      <c r="M57"/>
      <c r="N57"/>
      <c r="O57"/>
      <c r="P57" s="274"/>
      <c r="Q57" s="108"/>
    </row>
    <row r="58" spans="1:17" ht="15">
      <c r="A58" s="273"/>
      <c r="B58" s="273"/>
      <c r="C58" s="108"/>
      <c r="D58" s="108"/>
      <c r="E58" s="108"/>
      <c r="F58" s="108"/>
      <c r="G58" s="108"/>
      <c r="H58" s="108"/>
      <c r="I58" s="108"/>
      <c r="J58" s="108"/>
      <c r="K58" s="271"/>
      <c r="L58"/>
      <c r="M58"/>
      <c r="N58"/>
      <c r="O58"/>
      <c r="P58" s="274"/>
      <c r="Q58" s="108"/>
    </row>
    <row r="59" spans="1:17" ht="15">
      <c r="A59" s="273"/>
      <c r="B59" s="273"/>
      <c r="C59" s="108"/>
      <c r="D59" s="108"/>
      <c r="E59" s="108"/>
      <c r="F59" s="108"/>
      <c r="G59" s="108"/>
      <c r="H59" s="108"/>
      <c r="I59" s="108"/>
      <c r="J59" s="108"/>
      <c r="K59" s="271"/>
      <c r="L59"/>
      <c r="M59"/>
      <c r="N59"/>
      <c r="O59"/>
      <c r="P59" s="274"/>
      <c r="Q59" s="108"/>
    </row>
    <row r="60" spans="1:17" ht="15">
      <c r="A60" s="273"/>
      <c r="B60" s="273"/>
      <c r="C60" s="108"/>
      <c r="D60" s="108"/>
      <c r="E60" s="108"/>
      <c r="F60" s="108"/>
      <c r="G60" s="108"/>
      <c r="H60" s="108"/>
      <c r="I60" s="108"/>
      <c r="J60" s="108"/>
      <c r="K60" s="271"/>
      <c r="L60"/>
      <c r="M60"/>
      <c r="N60"/>
      <c r="O60"/>
      <c r="P60" s="274"/>
      <c r="Q60" s="108"/>
    </row>
    <row r="61" spans="1:17" ht="15">
      <c r="A61" s="273"/>
      <c r="B61" s="273"/>
      <c r="C61" s="108"/>
      <c r="D61" s="108"/>
      <c r="E61" s="108"/>
      <c r="F61" s="108"/>
      <c r="G61" s="108"/>
      <c r="H61" s="108"/>
      <c r="I61" s="108"/>
      <c r="J61" s="108"/>
      <c r="K61" s="271"/>
      <c r="L61"/>
      <c r="M61"/>
      <c r="N61"/>
      <c r="O61"/>
      <c r="P61" s="274"/>
      <c r="Q61" s="108"/>
    </row>
    <row r="62" spans="1:17" ht="15">
      <c r="A62" s="273"/>
      <c r="B62" s="273"/>
      <c r="C62" s="108"/>
      <c r="D62" s="108"/>
      <c r="E62" s="108"/>
      <c r="F62" s="108"/>
      <c r="G62" s="108"/>
      <c r="H62" s="108"/>
      <c r="I62" s="108"/>
      <c r="J62" s="108"/>
      <c r="K62" s="271"/>
      <c r="L62"/>
      <c r="M62"/>
      <c r="N62"/>
      <c r="O62"/>
      <c r="P62" s="274"/>
      <c r="Q62" s="108"/>
    </row>
    <row r="63" spans="1:17" ht="15">
      <c r="A63" s="273"/>
      <c r="B63" s="273"/>
      <c r="C63" s="108"/>
      <c r="D63" s="108"/>
      <c r="E63" s="108"/>
      <c r="F63" s="108"/>
      <c r="G63" s="108"/>
      <c r="H63" s="108"/>
      <c r="I63" s="108"/>
      <c r="J63" s="108"/>
      <c r="K63" s="271"/>
      <c r="L63"/>
      <c r="M63"/>
      <c r="N63"/>
      <c r="O63"/>
      <c r="P63" s="274"/>
      <c r="Q63" s="108"/>
    </row>
    <row r="64" spans="1:17" ht="15">
      <c r="A64" s="273"/>
      <c r="B64" s="273"/>
      <c r="C64" s="108"/>
      <c r="D64" s="108"/>
      <c r="E64" s="108"/>
      <c r="F64" s="108"/>
      <c r="G64" s="108"/>
      <c r="H64" s="108"/>
      <c r="I64" s="108"/>
      <c r="J64" s="108"/>
      <c r="K64" s="271"/>
      <c r="L64"/>
      <c r="M64"/>
      <c r="N64"/>
      <c r="O64"/>
      <c r="P64" s="274"/>
      <c r="Q64" s="108"/>
    </row>
    <row r="65" spans="1:17" ht="15">
      <c r="A65" s="273"/>
      <c r="B65" s="273"/>
      <c r="C65" s="108"/>
      <c r="D65" s="108"/>
      <c r="E65" s="108"/>
      <c r="F65" s="108"/>
      <c r="G65" s="108"/>
      <c r="H65" s="108"/>
      <c r="I65" s="108"/>
      <c r="J65" s="108"/>
      <c r="K65" s="279"/>
      <c r="L65"/>
      <c r="M65"/>
      <c r="N65"/>
      <c r="O65"/>
      <c r="P65" s="274"/>
      <c r="Q65" s="108"/>
    </row>
    <row r="66" spans="1:17">
      <c r="A66" s="273"/>
      <c r="B66" s="273"/>
      <c r="C66" s="108"/>
      <c r="D66" s="108"/>
      <c r="E66" s="108"/>
      <c r="F66" s="108"/>
      <c r="G66" s="108"/>
      <c r="H66" s="108"/>
      <c r="I66" s="108"/>
      <c r="J66" s="108"/>
      <c r="K66" s="273"/>
      <c r="L66" s="273"/>
      <c r="M66" s="274"/>
      <c r="N66" s="274"/>
      <c r="O66" s="274"/>
      <c r="P66" s="274"/>
      <c r="Q66" s="108"/>
    </row>
    <row r="67" spans="1:17">
      <c r="A67" s="273"/>
      <c r="B67" s="273"/>
      <c r="C67" s="108"/>
      <c r="D67" s="108"/>
      <c r="E67" s="108"/>
      <c r="F67" s="108"/>
      <c r="G67" s="108"/>
      <c r="H67" s="108"/>
      <c r="I67" s="108"/>
      <c r="J67" s="108"/>
      <c r="K67" s="273"/>
      <c r="L67" s="273"/>
      <c r="M67" s="274"/>
      <c r="N67" s="274"/>
      <c r="O67" s="274"/>
      <c r="P67" s="274"/>
      <c r="Q67" s="108"/>
    </row>
    <row r="68" spans="1:17">
      <c r="A68" s="273"/>
      <c r="B68" s="273"/>
      <c r="C68" s="108"/>
      <c r="D68" s="108"/>
      <c r="E68" s="108"/>
      <c r="F68" s="108"/>
      <c r="G68" s="108"/>
      <c r="H68" s="108"/>
      <c r="I68" s="108"/>
      <c r="J68" s="108"/>
      <c r="K68" s="273"/>
      <c r="L68" s="273"/>
      <c r="M68" s="274"/>
      <c r="N68" s="274"/>
      <c r="O68" s="274"/>
      <c r="P68" s="274"/>
      <c r="Q68" s="108"/>
    </row>
    <row r="69" spans="1:17">
      <c r="A69" s="273"/>
      <c r="B69" s="273"/>
      <c r="C69" s="108"/>
      <c r="D69" s="108"/>
      <c r="E69" s="108"/>
      <c r="F69" s="108"/>
      <c r="G69" s="108"/>
      <c r="H69" s="108"/>
      <c r="I69" s="108"/>
      <c r="J69" s="108"/>
      <c r="K69" s="273"/>
      <c r="L69" s="273"/>
      <c r="M69" s="274"/>
      <c r="N69" s="274"/>
      <c r="O69" s="274"/>
      <c r="P69" s="274"/>
      <c r="Q69" s="108"/>
    </row>
    <row r="70" spans="1:17">
      <c r="A70" s="273"/>
      <c r="B70" s="273"/>
      <c r="C70" s="108"/>
      <c r="D70" s="108"/>
      <c r="E70" s="108"/>
      <c r="F70" s="108"/>
      <c r="G70" s="108"/>
      <c r="H70" s="108"/>
      <c r="I70" s="108"/>
      <c r="J70" s="108"/>
      <c r="K70" s="273"/>
      <c r="L70" s="273"/>
      <c r="M70" s="274"/>
      <c r="N70" s="274"/>
      <c r="O70" s="274"/>
      <c r="P70" s="274"/>
      <c r="Q70" s="108"/>
    </row>
    <row r="71" spans="1:17">
      <c r="A71" s="273"/>
      <c r="B71" s="273"/>
      <c r="C71" s="108"/>
      <c r="D71" s="108"/>
      <c r="E71" s="108"/>
      <c r="F71" s="108"/>
      <c r="G71" s="108"/>
      <c r="H71" s="108"/>
      <c r="I71" s="108"/>
      <c r="J71" s="108"/>
      <c r="K71" s="273"/>
      <c r="L71" s="273"/>
      <c r="M71" s="274"/>
      <c r="N71" s="274"/>
      <c r="O71" s="274"/>
      <c r="P71" s="274"/>
      <c r="Q71" s="108"/>
    </row>
    <row r="72" spans="1:17">
      <c r="A72" s="273"/>
      <c r="B72" s="273"/>
      <c r="C72" s="108"/>
      <c r="D72" s="108"/>
      <c r="E72" s="108"/>
      <c r="F72" s="108"/>
      <c r="G72" s="108"/>
      <c r="H72" s="108"/>
      <c r="I72" s="108"/>
      <c r="J72" s="108"/>
      <c r="K72" s="273"/>
      <c r="L72" s="273"/>
      <c r="M72" s="274"/>
      <c r="N72" s="274"/>
      <c r="O72" s="274"/>
      <c r="P72" s="274"/>
      <c r="Q72" s="108"/>
    </row>
    <row r="73" spans="1:17">
      <c r="A73" s="273"/>
      <c r="B73" s="273"/>
      <c r="C73" s="108"/>
      <c r="D73" s="108"/>
      <c r="E73" s="108"/>
      <c r="F73" s="108"/>
      <c r="G73" s="108"/>
      <c r="H73" s="108"/>
      <c r="I73" s="108"/>
      <c r="J73" s="108"/>
      <c r="K73" s="273"/>
      <c r="L73" s="273"/>
      <c r="M73" s="274"/>
      <c r="N73" s="274"/>
      <c r="O73" s="274"/>
      <c r="P73" s="274"/>
      <c r="Q73" s="108"/>
    </row>
    <row r="74" spans="1:17">
      <c r="A74" s="273"/>
      <c r="B74" s="273"/>
      <c r="C74" s="108"/>
      <c r="D74" s="108"/>
      <c r="E74" s="108"/>
      <c r="F74" s="108"/>
      <c r="G74" s="108"/>
      <c r="H74" s="108"/>
      <c r="I74" s="108"/>
      <c r="J74" s="108"/>
      <c r="K74" s="273"/>
      <c r="L74" s="273"/>
      <c r="M74" s="274"/>
      <c r="N74" s="274"/>
      <c r="O74" s="274"/>
      <c r="P74" s="274"/>
      <c r="Q74" s="108"/>
    </row>
    <row r="75" spans="1:17">
      <c r="A75" s="273"/>
      <c r="B75" s="273"/>
      <c r="C75" s="108"/>
      <c r="D75" s="108"/>
      <c r="E75" s="108"/>
      <c r="F75" s="108"/>
      <c r="G75" s="108"/>
      <c r="H75" s="108"/>
      <c r="I75" s="108"/>
      <c r="J75" s="108"/>
      <c r="K75" s="273"/>
      <c r="L75" s="273"/>
      <c r="M75" s="274"/>
      <c r="N75" s="274"/>
      <c r="O75" s="274"/>
      <c r="P75" s="274"/>
      <c r="Q75" s="108"/>
    </row>
    <row r="76" spans="1:17">
      <c r="A76" s="273"/>
      <c r="B76" s="273"/>
      <c r="C76" s="108"/>
      <c r="D76" s="108"/>
      <c r="E76" s="108"/>
      <c r="F76" s="108"/>
      <c r="G76" s="108"/>
      <c r="H76" s="108"/>
      <c r="I76" s="108"/>
      <c r="J76" s="108"/>
      <c r="K76" s="273"/>
      <c r="L76" s="273"/>
      <c r="M76" s="274"/>
      <c r="N76" s="274"/>
      <c r="O76" s="274"/>
      <c r="P76" s="274"/>
      <c r="Q76" s="108"/>
    </row>
    <row r="77" spans="1:17">
      <c r="A77" s="273"/>
      <c r="B77" s="273"/>
      <c r="C77" s="108"/>
      <c r="D77" s="108"/>
      <c r="E77" s="108"/>
      <c r="F77" s="108"/>
      <c r="G77" s="108"/>
      <c r="H77" s="108"/>
      <c r="I77" s="108"/>
      <c r="J77" s="108"/>
      <c r="K77" s="273"/>
      <c r="L77" s="273"/>
      <c r="M77" s="274"/>
      <c r="N77" s="274"/>
      <c r="O77" s="274"/>
      <c r="P77" s="274"/>
      <c r="Q77" s="108"/>
    </row>
    <row r="78" spans="1:17">
      <c r="A78" s="273"/>
      <c r="B78" s="273"/>
      <c r="C78" s="108"/>
      <c r="D78" s="108"/>
      <c r="E78" s="108"/>
      <c r="F78" s="108"/>
      <c r="G78" s="108"/>
      <c r="H78" s="108"/>
      <c r="I78" s="108"/>
      <c r="J78" s="108"/>
      <c r="K78" s="273"/>
      <c r="L78" s="273"/>
      <c r="M78" s="274"/>
      <c r="N78" s="274"/>
      <c r="O78" s="274"/>
      <c r="P78" s="274"/>
      <c r="Q78" s="108"/>
    </row>
    <row r="79" spans="1:17">
      <c r="A79" s="273"/>
      <c r="B79" s="273"/>
      <c r="C79" s="108"/>
      <c r="D79" s="108"/>
      <c r="E79" s="108"/>
      <c r="F79" s="108"/>
      <c r="G79" s="108"/>
      <c r="H79" s="108"/>
      <c r="I79" s="108"/>
      <c r="J79" s="108"/>
      <c r="K79" s="273"/>
      <c r="L79" s="273"/>
      <c r="M79" s="274"/>
      <c r="N79" s="274"/>
      <c r="O79" s="274"/>
      <c r="P79" s="274"/>
      <c r="Q79" s="108"/>
    </row>
    <row r="80" spans="1:17">
      <c r="A80" s="273"/>
      <c r="B80" s="273"/>
      <c r="C80" s="108"/>
      <c r="D80" s="108"/>
      <c r="E80" s="108"/>
      <c r="F80" s="108"/>
      <c r="G80" s="108"/>
      <c r="H80" s="108"/>
      <c r="I80" s="108"/>
      <c r="J80" s="108"/>
      <c r="K80" s="273"/>
      <c r="L80" s="273"/>
      <c r="M80" s="274"/>
      <c r="N80" s="274"/>
      <c r="O80" s="274"/>
      <c r="P80" s="274"/>
      <c r="Q80" s="108"/>
    </row>
    <row r="81" spans="1:17">
      <c r="A81" s="273"/>
      <c r="B81" s="273"/>
      <c r="C81" s="108"/>
      <c r="D81" s="108"/>
      <c r="E81" s="108"/>
      <c r="F81" s="108"/>
      <c r="G81" s="108"/>
      <c r="H81" s="108"/>
      <c r="I81" s="108"/>
      <c r="J81" s="108"/>
      <c r="K81" s="273"/>
      <c r="L81" s="273"/>
      <c r="M81" s="274"/>
      <c r="N81" s="274"/>
      <c r="O81" s="274"/>
      <c r="P81" s="274"/>
      <c r="Q81" s="108"/>
    </row>
    <row r="82" spans="1:17">
      <c r="A82" s="273"/>
      <c r="B82" s="273"/>
      <c r="C82" s="108"/>
      <c r="D82" s="108"/>
      <c r="E82" s="108"/>
      <c r="F82" s="108"/>
      <c r="G82" s="108"/>
      <c r="H82" s="108"/>
      <c r="I82" s="108"/>
      <c r="J82" s="108"/>
      <c r="K82" s="273"/>
      <c r="L82" s="273"/>
      <c r="M82" s="274"/>
      <c r="N82" s="274"/>
      <c r="O82" s="274"/>
      <c r="P82" s="274"/>
      <c r="Q82" s="108"/>
    </row>
    <row r="83" spans="1:17">
      <c r="A83" s="273"/>
      <c r="B83" s="273"/>
      <c r="C83" s="108"/>
      <c r="D83" s="108"/>
      <c r="E83" s="108"/>
      <c r="F83" s="108"/>
      <c r="G83" s="108"/>
      <c r="H83" s="108"/>
      <c r="I83" s="108"/>
      <c r="J83" s="108"/>
      <c r="K83" s="273"/>
      <c r="L83" s="273"/>
      <c r="M83" s="274"/>
      <c r="N83" s="274"/>
      <c r="O83" s="274"/>
      <c r="P83" s="274"/>
      <c r="Q83" s="108"/>
    </row>
    <row r="84" spans="1:17">
      <c r="A84" s="273"/>
      <c r="B84" s="273"/>
      <c r="C84" s="108"/>
      <c r="D84" s="108"/>
      <c r="E84" s="108"/>
      <c r="F84" s="108"/>
      <c r="G84" s="108"/>
      <c r="H84" s="108"/>
      <c r="I84" s="108"/>
      <c r="J84" s="108"/>
      <c r="K84" s="273"/>
      <c r="L84" s="273"/>
      <c r="M84" s="274"/>
      <c r="N84" s="274"/>
      <c r="O84" s="274"/>
      <c r="P84" s="274"/>
      <c r="Q84" s="108"/>
    </row>
    <row r="85" spans="1:17">
      <c r="A85" s="273"/>
      <c r="B85" s="273"/>
      <c r="C85" s="108"/>
      <c r="D85" s="108"/>
      <c r="E85" s="108"/>
      <c r="F85" s="108"/>
      <c r="G85" s="108"/>
      <c r="H85" s="108"/>
      <c r="I85" s="108"/>
      <c r="J85" s="108"/>
      <c r="K85" s="273"/>
      <c r="L85" s="273"/>
      <c r="M85" s="274"/>
      <c r="N85" s="274"/>
      <c r="O85" s="274"/>
      <c r="P85" s="274"/>
      <c r="Q85" s="108"/>
    </row>
    <row r="86" spans="1:17">
      <c r="A86" s="273"/>
      <c r="B86" s="273"/>
      <c r="C86" s="108"/>
      <c r="D86" s="108"/>
      <c r="E86" s="108"/>
      <c r="F86" s="108"/>
      <c r="G86" s="108"/>
      <c r="H86" s="108"/>
      <c r="I86" s="108"/>
      <c r="J86" s="108"/>
      <c r="K86" s="273"/>
      <c r="L86" s="273"/>
      <c r="M86" s="274"/>
      <c r="N86" s="274"/>
      <c r="O86" s="274"/>
      <c r="P86" s="274"/>
      <c r="Q86" s="108"/>
    </row>
    <row r="87" spans="1:17">
      <c r="A87" s="273"/>
      <c r="B87" s="273"/>
      <c r="C87" s="108"/>
      <c r="D87" s="108"/>
      <c r="E87" s="108"/>
      <c r="F87" s="108"/>
      <c r="G87" s="108"/>
      <c r="H87" s="108"/>
      <c r="I87" s="108"/>
      <c r="J87" s="108"/>
      <c r="K87" s="273"/>
      <c r="L87" s="273"/>
      <c r="M87" s="274"/>
      <c r="N87" s="274"/>
      <c r="O87" s="274"/>
      <c r="P87" s="274"/>
      <c r="Q87" s="108"/>
    </row>
    <row r="88" spans="1:17">
      <c r="A88" s="273"/>
      <c r="B88" s="273"/>
      <c r="C88" s="108"/>
      <c r="D88" s="108"/>
      <c r="E88" s="108"/>
      <c r="F88" s="108"/>
      <c r="G88" s="108"/>
      <c r="H88" s="108"/>
      <c r="I88" s="108"/>
      <c r="J88" s="108"/>
      <c r="K88" s="273"/>
      <c r="L88" s="273"/>
      <c r="M88" s="274"/>
      <c r="N88" s="274"/>
      <c r="O88" s="274"/>
      <c r="P88" s="274"/>
      <c r="Q88" s="108"/>
    </row>
    <row r="89" spans="1:17">
      <c r="A89" s="273"/>
      <c r="B89" s="273"/>
      <c r="C89" s="108"/>
      <c r="D89" s="108"/>
      <c r="E89" s="108"/>
      <c r="F89" s="108"/>
      <c r="G89" s="108"/>
      <c r="H89" s="108"/>
      <c r="I89" s="108"/>
      <c r="J89" s="108"/>
      <c r="K89" s="273"/>
      <c r="L89" s="273"/>
      <c r="M89" s="274"/>
      <c r="N89" s="274"/>
      <c r="O89" s="274"/>
      <c r="P89" s="274"/>
      <c r="Q89" s="108"/>
    </row>
    <row r="90" spans="1:17">
      <c r="A90" s="273"/>
      <c r="B90" s="273"/>
      <c r="C90" s="108"/>
      <c r="D90" s="108"/>
      <c r="E90" s="108"/>
      <c r="F90" s="108"/>
      <c r="G90" s="108"/>
      <c r="H90" s="108"/>
      <c r="I90" s="108"/>
      <c r="J90" s="108"/>
      <c r="K90" s="273"/>
      <c r="L90" s="273"/>
      <c r="M90" s="274"/>
      <c r="N90" s="274"/>
      <c r="O90" s="274"/>
      <c r="P90" s="274"/>
      <c r="Q90" s="108"/>
    </row>
    <row r="91" spans="1:17">
      <c r="A91" s="273"/>
      <c r="B91" s="273"/>
      <c r="C91" s="108"/>
      <c r="D91" s="108"/>
      <c r="E91" s="108"/>
      <c r="F91" s="108"/>
      <c r="G91" s="108"/>
      <c r="H91" s="108"/>
      <c r="I91" s="108"/>
      <c r="J91" s="108"/>
      <c r="K91" s="273"/>
      <c r="L91" s="273"/>
      <c r="M91" s="274"/>
      <c r="N91" s="274"/>
      <c r="O91" s="274"/>
      <c r="P91" s="274"/>
      <c r="Q91" s="108"/>
    </row>
    <row r="92" spans="1:17">
      <c r="A92" s="273"/>
      <c r="B92" s="273"/>
      <c r="C92" s="108"/>
      <c r="D92" s="108"/>
      <c r="E92" s="108"/>
      <c r="F92" s="108"/>
      <c r="G92" s="108"/>
      <c r="H92" s="108"/>
      <c r="I92" s="108"/>
      <c r="J92" s="108"/>
      <c r="K92" s="273"/>
      <c r="L92" s="273"/>
      <c r="M92" s="274"/>
      <c r="N92" s="274"/>
      <c r="O92" s="274"/>
      <c r="P92" s="274"/>
      <c r="Q92" s="108"/>
    </row>
    <row r="93" spans="1:17">
      <c r="A93" s="273"/>
      <c r="B93" s="273"/>
      <c r="C93" s="108"/>
      <c r="D93" s="108"/>
      <c r="E93" s="108"/>
      <c r="F93" s="108"/>
      <c r="G93" s="108"/>
      <c r="H93" s="108"/>
      <c r="I93" s="108"/>
      <c r="J93" s="108"/>
      <c r="K93" s="273"/>
      <c r="L93" s="273"/>
      <c r="M93" s="274"/>
      <c r="N93" s="274"/>
      <c r="O93" s="274"/>
      <c r="P93" s="274"/>
      <c r="Q93" s="108"/>
    </row>
    <row r="94" spans="1:17">
      <c r="A94" s="273"/>
      <c r="B94" s="273"/>
      <c r="C94" s="108"/>
      <c r="D94" s="108"/>
      <c r="E94" s="108"/>
      <c r="F94" s="108"/>
      <c r="G94" s="108"/>
      <c r="H94" s="108"/>
      <c r="I94" s="108"/>
      <c r="J94" s="108"/>
      <c r="K94" s="273"/>
      <c r="L94" s="273"/>
      <c r="M94" s="274"/>
      <c r="N94" s="274"/>
      <c r="O94" s="274"/>
      <c r="P94" s="274"/>
      <c r="Q94" s="108"/>
    </row>
    <row r="95" spans="1:17">
      <c r="A95" s="273"/>
      <c r="B95" s="273"/>
      <c r="C95" s="108"/>
      <c r="D95" s="108"/>
      <c r="E95" s="108"/>
      <c r="F95" s="108"/>
      <c r="G95" s="108"/>
      <c r="H95" s="108"/>
      <c r="I95" s="108"/>
      <c r="J95" s="108"/>
      <c r="K95" s="273"/>
      <c r="L95" s="273"/>
      <c r="M95" s="274"/>
      <c r="N95" s="274"/>
      <c r="O95" s="274"/>
      <c r="P95" s="274"/>
      <c r="Q95" s="108"/>
    </row>
    <row r="96" spans="1:17">
      <c r="A96" s="273"/>
      <c r="B96" s="273"/>
      <c r="C96" s="108"/>
      <c r="D96" s="108"/>
      <c r="E96" s="108"/>
      <c r="F96" s="108"/>
      <c r="G96" s="108"/>
      <c r="H96" s="108"/>
      <c r="I96" s="108"/>
      <c r="J96" s="108"/>
      <c r="K96" s="273"/>
      <c r="L96" s="273"/>
      <c r="M96" s="274"/>
      <c r="N96" s="274"/>
      <c r="O96" s="274"/>
      <c r="P96" s="274"/>
      <c r="Q96" s="108"/>
    </row>
    <row r="97" spans="1:17">
      <c r="A97" s="273"/>
      <c r="B97" s="273"/>
      <c r="C97" s="108"/>
      <c r="D97" s="108"/>
      <c r="E97" s="108"/>
      <c r="F97" s="108"/>
      <c r="G97" s="108"/>
      <c r="H97" s="108"/>
      <c r="I97" s="108"/>
      <c r="J97" s="108"/>
      <c r="K97" s="273"/>
      <c r="L97" s="273"/>
      <c r="M97" s="274"/>
      <c r="N97" s="274"/>
      <c r="O97" s="274"/>
      <c r="P97" s="274"/>
      <c r="Q97" s="108"/>
    </row>
    <row r="98" spans="1:17">
      <c r="A98" s="273"/>
      <c r="B98" s="273"/>
      <c r="C98" s="108"/>
      <c r="D98" s="108"/>
      <c r="E98" s="108"/>
      <c r="F98" s="108"/>
      <c r="G98" s="108"/>
      <c r="H98" s="108"/>
      <c r="I98" s="108"/>
      <c r="J98" s="108"/>
      <c r="K98" s="273"/>
      <c r="L98" s="273"/>
      <c r="M98" s="274"/>
      <c r="N98" s="274"/>
      <c r="O98" s="274"/>
      <c r="P98" s="274"/>
      <c r="Q98" s="108"/>
    </row>
    <row r="99" spans="1:17">
      <c r="A99" s="273"/>
      <c r="B99" s="273"/>
      <c r="C99" s="108"/>
      <c r="D99" s="108"/>
      <c r="E99" s="108"/>
      <c r="F99" s="108"/>
      <c r="G99" s="108"/>
      <c r="H99" s="108"/>
      <c r="I99" s="108"/>
      <c r="J99" s="108"/>
      <c r="K99" s="273"/>
      <c r="L99" s="273"/>
      <c r="M99" s="274"/>
      <c r="N99" s="274"/>
      <c r="O99" s="274"/>
      <c r="P99" s="274"/>
      <c r="Q99" s="108"/>
    </row>
    <row r="100" spans="1:17">
      <c r="A100" s="273"/>
      <c r="B100" s="273"/>
      <c r="C100" s="108"/>
      <c r="D100" s="108"/>
      <c r="E100" s="108"/>
      <c r="F100" s="108"/>
      <c r="G100" s="108"/>
      <c r="H100" s="108"/>
      <c r="I100" s="108"/>
      <c r="J100" s="108"/>
      <c r="K100" s="273"/>
      <c r="L100" s="273"/>
      <c r="M100" s="274"/>
      <c r="N100" s="274"/>
      <c r="O100" s="274"/>
      <c r="P100" s="274"/>
      <c r="Q100" s="108"/>
    </row>
    <row r="101" spans="1:17">
      <c r="A101" s="273"/>
      <c r="B101" s="273"/>
      <c r="C101" s="108"/>
      <c r="D101" s="108"/>
      <c r="E101" s="108"/>
      <c r="F101" s="108"/>
      <c r="G101" s="108"/>
      <c r="H101" s="108"/>
      <c r="I101" s="108"/>
      <c r="J101" s="108"/>
      <c r="K101" s="273"/>
      <c r="L101" s="273"/>
      <c r="M101" s="274"/>
      <c r="N101" s="274"/>
      <c r="O101" s="274"/>
      <c r="P101" s="274"/>
      <c r="Q101" s="108"/>
    </row>
    <row r="102" spans="1:17">
      <c r="A102" s="273"/>
      <c r="B102" s="273"/>
      <c r="C102" s="108"/>
      <c r="D102" s="108"/>
      <c r="E102" s="108"/>
      <c r="F102" s="108"/>
      <c r="G102" s="108"/>
      <c r="H102" s="108"/>
      <c r="I102" s="108"/>
      <c r="J102" s="108"/>
      <c r="K102" s="273"/>
      <c r="L102" s="273"/>
      <c r="M102" s="274"/>
      <c r="N102" s="274"/>
      <c r="O102" s="274"/>
      <c r="P102" s="274"/>
      <c r="Q102" s="108"/>
    </row>
    <row r="103" spans="1:17">
      <c r="A103" s="273"/>
      <c r="B103" s="273"/>
      <c r="C103" s="108"/>
      <c r="D103" s="108"/>
      <c r="E103" s="108"/>
      <c r="F103" s="108"/>
      <c r="G103" s="108"/>
      <c r="H103" s="108"/>
      <c r="I103" s="108"/>
      <c r="J103" s="108"/>
      <c r="K103" s="273"/>
      <c r="L103" s="273"/>
      <c r="M103" s="274"/>
      <c r="N103" s="274"/>
      <c r="O103" s="274"/>
      <c r="P103" s="274"/>
      <c r="Q103" s="108"/>
    </row>
    <row r="104" spans="1:17">
      <c r="A104" s="273"/>
      <c r="B104" s="273"/>
      <c r="C104" s="108"/>
      <c r="D104" s="108"/>
      <c r="E104" s="108"/>
      <c r="F104" s="108"/>
      <c r="G104" s="108"/>
      <c r="H104" s="108"/>
      <c r="I104" s="108"/>
      <c r="J104" s="108"/>
      <c r="K104" s="273"/>
      <c r="L104" s="273"/>
      <c r="M104" s="274"/>
      <c r="N104" s="274"/>
      <c r="O104" s="274"/>
      <c r="P104" s="274"/>
      <c r="Q104" s="108"/>
    </row>
    <row r="105" spans="1:17">
      <c r="A105" s="273"/>
      <c r="B105" s="273"/>
      <c r="C105" s="108"/>
      <c r="D105" s="108"/>
      <c r="E105" s="108"/>
      <c r="F105" s="108"/>
      <c r="G105" s="108"/>
      <c r="H105" s="108"/>
      <c r="I105" s="108"/>
      <c r="J105" s="108"/>
      <c r="K105" s="273"/>
      <c r="L105" s="273"/>
      <c r="M105" s="274"/>
      <c r="N105" s="274"/>
      <c r="O105" s="274"/>
      <c r="P105" s="274"/>
      <c r="Q105" s="108"/>
    </row>
    <row r="106" spans="1:17">
      <c r="A106" s="273"/>
      <c r="B106" s="273"/>
      <c r="C106" s="108"/>
      <c r="D106" s="108"/>
      <c r="E106" s="108"/>
      <c r="F106" s="108"/>
      <c r="G106" s="108"/>
      <c r="H106" s="108"/>
      <c r="I106" s="108"/>
      <c r="J106" s="108"/>
      <c r="K106" s="273"/>
      <c r="L106" s="273"/>
      <c r="M106" s="274"/>
      <c r="N106" s="274"/>
      <c r="O106" s="274"/>
      <c r="P106" s="274"/>
      <c r="Q106" s="108"/>
    </row>
    <row r="107" spans="1:17">
      <c r="A107" s="273"/>
      <c r="B107" s="273"/>
      <c r="C107" s="108"/>
      <c r="D107" s="108"/>
      <c r="E107" s="108"/>
      <c r="F107" s="108"/>
      <c r="G107" s="108"/>
      <c r="H107" s="108"/>
      <c r="I107" s="108"/>
      <c r="J107" s="108"/>
      <c r="K107" s="273"/>
      <c r="L107" s="273"/>
      <c r="M107" s="274"/>
      <c r="N107" s="274"/>
      <c r="O107" s="274"/>
      <c r="P107" s="274"/>
      <c r="Q107" s="108"/>
    </row>
    <row r="108" spans="1:17">
      <c r="A108" s="273"/>
      <c r="B108" s="273"/>
      <c r="C108" s="108"/>
      <c r="D108" s="108"/>
      <c r="E108" s="108"/>
      <c r="F108" s="108"/>
      <c r="G108" s="108"/>
      <c r="H108" s="108"/>
      <c r="I108" s="108"/>
      <c r="J108" s="108"/>
      <c r="K108" s="273"/>
      <c r="L108" s="273"/>
      <c r="M108" s="274"/>
      <c r="N108" s="274"/>
      <c r="O108" s="274"/>
      <c r="P108" s="274"/>
      <c r="Q108" s="108"/>
    </row>
    <row r="109" spans="1:17">
      <c r="A109" s="273"/>
      <c r="B109" s="273"/>
      <c r="C109" s="108"/>
      <c r="D109" s="108"/>
      <c r="E109" s="108"/>
      <c r="F109" s="108"/>
      <c r="G109" s="108"/>
      <c r="H109" s="108"/>
      <c r="I109" s="108"/>
      <c r="J109" s="108"/>
      <c r="K109" s="273"/>
      <c r="L109" s="273"/>
      <c r="M109" s="274"/>
      <c r="N109" s="274"/>
      <c r="O109" s="274"/>
      <c r="P109" s="274"/>
      <c r="Q109" s="108"/>
    </row>
    <row r="110" spans="1:17">
      <c r="A110" s="273"/>
      <c r="B110" s="273"/>
      <c r="C110" s="108"/>
      <c r="D110" s="108"/>
      <c r="E110" s="108"/>
      <c r="F110" s="108"/>
      <c r="G110" s="108"/>
      <c r="H110" s="108"/>
      <c r="I110" s="108"/>
      <c r="J110" s="108"/>
      <c r="K110" s="273"/>
      <c r="L110" s="273"/>
      <c r="M110" s="274"/>
      <c r="N110" s="274"/>
      <c r="O110" s="274"/>
      <c r="P110" s="274"/>
      <c r="Q110" s="108"/>
    </row>
    <row r="111" spans="1:17">
      <c r="A111" s="273"/>
      <c r="B111" s="273"/>
      <c r="C111" s="108"/>
      <c r="D111" s="108"/>
      <c r="E111" s="108"/>
      <c r="F111" s="108"/>
      <c r="G111" s="108"/>
      <c r="H111" s="108"/>
      <c r="I111" s="108"/>
      <c r="J111" s="108"/>
      <c r="K111" s="273"/>
      <c r="L111" s="273"/>
      <c r="M111" s="274"/>
      <c r="N111" s="274"/>
      <c r="O111" s="274"/>
      <c r="P111" s="274"/>
      <c r="Q111" s="108"/>
    </row>
    <row r="112" spans="1:17">
      <c r="A112" s="273"/>
      <c r="B112" s="273"/>
      <c r="C112" s="108"/>
      <c r="D112" s="108"/>
      <c r="E112" s="108"/>
      <c r="F112" s="108"/>
      <c r="G112" s="108"/>
      <c r="H112" s="108"/>
      <c r="I112" s="108"/>
      <c r="J112" s="108"/>
      <c r="K112" s="273"/>
      <c r="L112" s="273"/>
      <c r="M112" s="274"/>
      <c r="N112" s="274"/>
      <c r="O112" s="274"/>
      <c r="P112" s="274"/>
      <c r="Q112" s="108"/>
    </row>
    <row r="113" spans="1:17">
      <c r="A113" s="273"/>
      <c r="B113" s="273"/>
      <c r="C113" s="108"/>
      <c r="D113" s="108"/>
      <c r="E113" s="108"/>
      <c r="F113" s="108"/>
      <c r="G113" s="108"/>
      <c r="H113" s="108"/>
      <c r="I113" s="108"/>
      <c r="J113" s="108"/>
      <c r="K113" s="273"/>
      <c r="L113" s="273"/>
      <c r="M113" s="274"/>
      <c r="N113" s="274"/>
      <c r="O113" s="274"/>
      <c r="P113" s="274"/>
      <c r="Q113" s="108"/>
    </row>
    <row r="114" spans="1:17">
      <c r="A114" s="273"/>
      <c r="B114" s="273"/>
      <c r="C114" s="108"/>
      <c r="D114" s="108"/>
      <c r="E114" s="108"/>
      <c r="F114" s="108"/>
      <c r="G114" s="108"/>
      <c r="H114" s="108"/>
      <c r="I114" s="108"/>
      <c r="J114" s="108"/>
      <c r="K114" s="273"/>
      <c r="L114" s="273"/>
      <c r="M114" s="274"/>
      <c r="N114" s="274"/>
      <c r="O114" s="274"/>
      <c r="P114" s="274"/>
      <c r="Q114" s="108"/>
    </row>
    <row r="115" spans="1:17">
      <c r="A115" s="273"/>
      <c r="B115" s="273"/>
      <c r="C115" s="108"/>
      <c r="D115" s="108"/>
      <c r="E115" s="108"/>
      <c r="F115" s="108"/>
      <c r="G115" s="108"/>
      <c r="H115" s="108"/>
      <c r="I115" s="108"/>
      <c r="J115" s="108"/>
      <c r="K115" s="273"/>
      <c r="L115" s="273"/>
      <c r="M115" s="274"/>
      <c r="N115" s="274"/>
      <c r="O115" s="274"/>
      <c r="P115" s="274"/>
      <c r="Q115" s="108"/>
    </row>
    <row r="116" spans="1:17">
      <c r="A116" s="273"/>
      <c r="B116" s="273"/>
      <c r="C116" s="108"/>
      <c r="D116" s="108"/>
      <c r="E116" s="108"/>
      <c r="F116" s="108"/>
      <c r="G116" s="108"/>
      <c r="H116" s="108"/>
      <c r="I116" s="108"/>
      <c r="J116" s="108"/>
      <c r="K116" s="273"/>
      <c r="L116" s="273"/>
      <c r="M116" s="274"/>
      <c r="N116" s="274"/>
      <c r="O116" s="274"/>
      <c r="P116" s="274"/>
      <c r="Q116" s="108"/>
    </row>
    <row r="117" spans="1:17">
      <c r="A117" s="273"/>
      <c r="B117" s="273"/>
      <c r="C117" s="108"/>
      <c r="D117" s="108"/>
      <c r="E117" s="108"/>
      <c r="F117" s="108"/>
      <c r="G117" s="108"/>
      <c r="H117" s="108"/>
      <c r="I117" s="108"/>
      <c r="J117" s="108"/>
      <c r="K117" s="273"/>
      <c r="L117" s="273"/>
      <c r="M117" s="274"/>
      <c r="N117" s="274"/>
      <c r="O117" s="274"/>
      <c r="P117" s="274"/>
      <c r="Q117" s="108"/>
    </row>
    <row r="118" spans="1:17">
      <c r="A118" s="273"/>
      <c r="B118" s="273"/>
      <c r="C118" s="108"/>
      <c r="D118" s="108"/>
      <c r="E118" s="108"/>
      <c r="F118" s="108"/>
      <c r="G118" s="108"/>
      <c r="H118" s="108"/>
      <c r="I118" s="108"/>
      <c r="J118" s="108"/>
      <c r="K118" s="273"/>
      <c r="L118" s="273"/>
      <c r="M118" s="274"/>
      <c r="N118" s="274"/>
      <c r="O118" s="274"/>
      <c r="P118" s="274"/>
      <c r="Q118" s="108"/>
    </row>
    <row r="119" spans="1:17">
      <c r="A119" s="273"/>
      <c r="B119" s="273"/>
      <c r="C119" s="108"/>
      <c r="D119" s="108"/>
      <c r="E119" s="108"/>
      <c r="F119" s="108"/>
      <c r="G119" s="108"/>
      <c r="H119" s="108"/>
      <c r="I119" s="108"/>
      <c r="J119" s="108"/>
      <c r="K119" s="273"/>
      <c r="L119" s="273"/>
      <c r="M119" s="274"/>
      <c r="N119" s="274"/>
      <c r="O119" s="274"/>
      <c r="P119" s="274"/>
      <c r="Q119" s="108"/>
    </row>
    <row r="120" spans="1:17">
      <c r="A120" s="273"/>
      <c r="B120" s="273"/>
      <c r="C120" s="108"/>
      <c r="D120" s="108"/>
      <c r="E120" s="108"/>
      <c r="F120" s="108"/>
      <c r="G120" s="108"/>
      <c r="H120" s="108"/>
      <c r="I120" s="108"/>
      <c r="J120" s="108"/>
      <c r="K120" s="273"/>
      <c r="L120" s="273"/>
      <c r="M120" s="274"/>
      <c r="N120" s="274"/>
      <c r="O120" s="274"/>
      <c r="P120" s="274"/>
      <c r="Q120" s="108"/>
    </row>
    <row r="121" spans="1:17">
      <c r="A121" s="273"/>
      <c r="B121" s="273"/>
      <c r="C121" s="108"/>
      <c r="D121" s="108"/>
      <c r="E121" s="108"/>
      <c r="F121" s="108"/>
      <c r="G121" s="108"/>
      <c r="H121" s="108"/>
      <c r="I121" s="108"/>
      <c r="J121" s="108"/>
      <c r="K121" s="273"/>
      <c r="L121" s="273"/>
      <c r="M121" s="274"/>
      <c r="N121" s="274"/>
      <c r="O121" s="274"/>
      <c r="P121" s="274"/>
      <c r="Q121" s="108"/>
    </row>
    <row r="122" spans="1:17">
      <c r="A122" s="273"/>
      <c r="B122" s="273"/>
      <c r="C122" s="108"/>
      <c r="D122" s="108"/>
      <c r="E122" s="108"/>
      <c r="F122" s="108"/>
      <c r="G122" s="108"/>
      <c r="H122" s="108"/>
      <c r="I122" s="108"/>
      <c r="J122" s="108"/>
      <c r="K122" s="273"/>
      <c r="L122" s="273"/>
      <c r="M122" s="274"/>
      <c r="N122" s="274"/>
      <c r="O122" s="274"/>
      <c r="P122" s="274"/>
      <c r="Q122" s="108"/>
    </row>
    <row r="123" spans="1:17">
      <c r="A123" s="273"/>
      <c r="B123" s="273"/>
      <c r="C123" s="108"/>
      <c r="D123" s="108"/>
      <c r="E123" s="108"/>
      <c r="F123" s="108"/>
      <c r="G123" s="108"/>
      <c r="H123" s="108"/>
      <c r="I123" s="108"/>
      <c r="J123" s="108"/>
      <c r="K123" s="273"/>
      <c r="L123" s="273"/>
      <c r="M123" s="274"/>
      <c r="N123" s="274"/>
      <c r="O123" s="274"/>
      <c r="P123" s="274"/>
      <c r="Q123" s="108"/>
    </row>
    <row r="124" spans="1:17">
      <c r="A124" s="273"/>
      <c r="B124" s="273"/>
      <c r="C124" s="108"/>
      <c r="D124" s="108"/>
      <c r="E124" s="108"/>
      <c r="F124" s="108"/>
      <c r="G124" s="108"/>
      <c r="H124" s="108"/>
      <c r="I124" s="108"/>
      <c r="J124" s="108"/>
      <c r="K124" s="273"/>
      <c r="L124" s="273"/>
      <c r="M124" s="274"/>
      <c r="N124" s="274"/>
      <c r="O124" s="274"/>
      <c r="P124" s="274"/>
      <c r="Q124" s="108"/>
    </row>
    <row r="125" spans="1:17">
      <c r="A125" s="273"/>
      <c r="B125" s="273"/>
      <c r="C125" s="108"/>
      <c r="D125" s="108"/>
      <c r="E125" s="108"/>
      <c r="F125" s="108"/>
      <c r="G125" s="108"/>
      <c r="H125" s="108"/>
      <c r="I125" s="108"/>
      <c r="J125" s="108"/>
      <c r="K125" s="273"/>
      <c r="L125" s="273"/>
      <c r="M125" s="274"/>
      <c r="N125" s="274"/>
      <c r="O125" s="274"/>
      <c r="P125" s="274"/>
      <c r="Q125" s="108"/>
    </row>
    <row r="126" spans="1:17">
      <c r="A126" s="273"/>
      <c r="B126" s="273"/>
      <c r="C126" s="108"/>
      <c r="D126" s="108"/>
      <c r="E126" s="108"/>
      <c r="F126" s="108"/>
      <c r="G126" s="108"/>
      <c r="H126" s="108"/>
      <c r="I126" s="108"/>
      <c r="J126" s="108"/>
      <c r="K126" s="273"/>
      <c r="L126" s="273"/>
      <c r="M126" s="274"/>
      <c r="N126" s="274"/>
      <c r="O126" s="274"/>
      <c r="P126" s="274"/>
      <c r="Q126" s="108"/>
    </row>
    <row r="127" spans="1:17">
      <c r="A127" s="273"/>
      <c r="B127" s="273"/>
      <c r="C127" s="108"/>
      <c r="D127" s="108"/>
      <c r="E127" s="108"/>
      <c r="F127" s="108"/>
      <c r="G127" s="108"/>
      <c r="H127" s="108"/>
      <c r="I127" s="108"/>
      <c r="J127" s="108"/>
      <c r="K127" s="273"/>
      <c r="L127" s="273"/>
      <c r="M127" s="274"/>
      <c r="N127" s="274"/>
      <c r="O127" s="274"/>
      <c r="P127" s="274"/>
      <c r="Q127" s="108"/>
    </row>
    <row r="128" spans="1:17">
      <c r="A128" s="273"/>
      <c r="B128" s="273"/>
      <c r="C128" s="108"/>
      <c r="D128" s="108"/>
      <c r="E128" s="108"/>
      <c r="F128" s="108"/>
      <c r="G128" s="108"/>
      <c r="H128" s="108"/>
      <c r="I128" s="108"/>
      <c r="J128" s="108"/>
      <c r="K128" s="273"/>
      <c r="L128" s="273"/>
      <c r="M128" s="274"/>
      <c r="N128" s="274"/>
      <c r="O128" s="274"/>
      <c r="P128" s="274"/>
      <c r="Q128" s="108"/>
    </row>
    <row r="129" spans="1:27">
      <c r="A129" s="273"/>
      <c r="B129" s="273"/>
      <c r="C129" s="108"/>
      <c r="D129" s="108"/>
      <c r="E129" s="108"/>
      <c r="F129" s="108"/>
      <c r="G129" s="108"/>
      <c r="H129" s="108"/>
      <c r="I129" s="108"/>
      <c r="J129" s="108"/>
      <c r="K129" s="273"/>
      <c r="L129" s="273"/>
      <c r="M129" s="274"/>
      <c r="N129" s="274"/>
      <c r="O129" s="274"/>
      <c r="P129" s="274"/>
      <c r="Q129" s="108"/>
    </row>
    <row r="130" spans="1:27">
      <c r="A130" s="273"/>
      <c r="B130" s="273"/>
      <c r="C130" s="108"/>
      <c r="D130" s="108"/>
      <c r="E130" s="108"/>
      <c r="F130" s="108"/>
      <c r="G130" s="108"/>
      <c r="H130" s="108"/>
      <c r="I130" s="108"/>
      <c r="J130" s="108"/>
      <c r="K130" s="273"/>
      <c r="L130" s="273"/>
      <c r="M130" s="274"/>
      <c r="N130" s="274"/>
      <c r="O130" s="274"/>
      <c r="P130" s="274"/>
      <c r="Q130" s="108"/>
    </row>
    <row r="131" spans="1:27">
      <c r="A131" s="273"/>
      <c r="B131" s="273"/>
      <c r="C131" s="108"/>
      <c r="D131" s="108"/>
      <c r="E131" s="108"/>
      <c r="F131" s="108"/>
      <c r="G131" s="108"/>
      <c r="H131" s="108"/>
      <c r="I131" s="108"/>
      <c r="J131" s="108"/>
      <c r="K131" s="273"/>
      <c r="L131" s="273"/>
      <c r="M131" s="274"/>
      <c r="N131" s="274"/>
      <c r="O131" s="274"/>
      <c r="P131" s="274"/>
      <c r="Q131" s="108"/>
    </row>
    <row r="132" spans="1:27">
      <c r="A132" s="273"/>
      <c r="B132" s="273"/>
      <c r="C132" s="108"/>
      <c r="D132" s="108"/>
      <c r="E132" s="108"/>
      <c r="F132" s="108"/>
      <c r="G132" s="108"/>
      <c r="H132" s="108"/>
      <c r="I132" s="108"/>
      <c r="J132" s="108"/>
      <c r="K132" s="273"/>
      <c r="L132" s="273"/>
      <c r="M132" s="274"/>
      <c r="N132" s="274"/>
      <c r="O132" s="274"/>
      <c r="P132" s="274"/>
      <c r="Q132" s="108"/>
    </row>
    <row r="133" spans="1:27">
      <c r="A133" s="273"/>
      <c r="B133" s="273"/>
      <c r="C133" s="108"/>
      <c r="D133" s="108"/>
      <c r="E133" s="108"/>
      <c r="F133" s="108"/>
      <c r="G133" s="108"/>
      <c r="H133" s="108"/>
      <c r="I133" s="108"/>
      <c r="J133" s="108"/>
      <c r="K133" s="273"/>
      <c r="L133" s="273"/>
      <c r="M133" s="274"/>
      <c r="N133" s="274"/>
      <c r="O133" s="274"/>
      <c r="P133" s="274"/>
      <c r="Q133" s="108"/>
    </row>
    <row r="134" spans="1:27">
      <c r="A134" s="273"/>
      <c r="B134" s="273"/>
      <c r="C134" s="108"/>
      <c r="D134" s="108"/>
      <c r="E134" s="108"/>
      <c r="F134" s="108"/>
      <c r="G134" s="108"/>
      <c r="H134" s="108"/>
      <c r="I134" s="108"/>
      <c r="J134" s="108"/>
      <c r="K134" s="273"/>
      <c r="L134" s="273"/>
      <c r="M134" s="274"/>
      <c r="N134" s="274"/>
      <c r="O134" s="274"/>
      <c r="P134" s="274"/>
      <c r="Q134" s="108"/>
    </row>
    <row r="135" spans="1:27">
      <c r="A135" s="273"/>
      <c r="B135" s="273"/>
      <c r="C135" s="108"/>
      <c r="D135" s="108"/>
      <c r="E135" s="108"/>
      <c r="F135" s="108"/>
      <c r="G135" s="108"/>
      <c r="H135" s="108"/>
      <c r="I135" s="108"/>
      <c r="J135" s="108"/>
      <c r="K135" s="273"/>
      <c r="L135" s="273"/>
      <c r="M135" s="274"/>
      <c r="N135" s="274"/>
      <c r="O135" s="274"/>
      <c r="P135" s="274"/>
      <c r="Q135" s="108"/>
    </row>
    <row r="136" spans="1:27">
      <c r="A136" s="273"/>
      <c r="B136" s="273"/>
      <c r="C136" s="108"/>
      <c r="D136" s="108"/>
      <c r="E136" s="108"/>
      <c r="F136" s="108"/>
      <c r="G136" s="108"/>
      <c r="H136" s="108"/>
      <c r="I136" s="108"/>
      <c r="J136" s="108"/>
      <c r="K136" s="273"/>
      <c r="L136" s="273"/>
      <c r="M136" s="274"/>
      <c r="N136" s="274"/>
      <c r="O136" s="274"/>
      <c r="P136" s="274"/>
      <c r="Q136" s="108"/>
    </row>
    <row r="137" spans="1:27">
      <c r="A137" s="273"/>
      <c r="B137" s="273"/>
      <c r="C137" s="108"/>
      <c r="D137" s="108"/>
      <c r="E137" s="108"/>
      <c r="F137" s="108"/>
      <c r="G137" s="108"/>
      <c r="H137" s="108"/>
      <c r="I137" s="108"/>
      <c r="J137" s="108"/>
      <c r="K137" s="273"/>
      <c r="L137" s="273"/>
      <c r="M137" s="274"/>
      <c r="N137" s="274"/>
      <c r="O137" s="274"/>
      <c r="P137" s="274"/>
      <c r="Q137" s="108"/>
    </row>
    <row r="138" spans="1:27">
      <c r="A138" s="273"/>
      <c r="B138" s="273"/>
      <c r="C138" s="108"/>
      <c r="D138" s="108"/>
      <c r="E138" s="108"/>
      <c r="F138" s="108"/>
      <c r="G138" s="108"/>
      <c r="H138" s="108"/>
      <c r="I138" s="108"/>
      <c r="J138" s="108"/>
      <c r="K138" s="273"/>
      <c r="L138" s="273"/>
      <c r="M138" s="274"/>
      <c r="N138" s="274"/>
      <c r="O138" s="274"/>
      <c r="P138" s="274"/>
      <c r="Q138" s="108"/>
    </row>
    <row r="139" spans="1:27">
      <c r="A139" s="273"/>
      <c r="B139" s="273"/>
      <c r="C139" s="108"/>
      <c r="D139" s="108"/>
      <c r="E139" s="108"/>
      <c r="F139" s="108"/>
      <c r="G139" s="108"/>
      <c r="H139" s="108"/>
      <c r="I139" s="108"/>
      <c r="J139" s="108"/>
      <c r="K139" s="273"/>
      <c r="L139" s="273"/>
      <c r="M139" s="274"/>
      <c r="N139" s="274"/>
      <c r="O139" s="274"/>
      <c r="P139" s="274"/>
      <c r="Q139" s="108"/>
      <c r="R139" s="117"/>
      <c r="Y139" s="117"/>
      <c r="Z139" s="117"/>
      <c r="AA139" s="117"/>
    </row>
    <row r="140" spans="1:27">
      <c r="A140" s="273"/>
      <c r="B140" s="273"/>
      <c r="C140" s="108"/>
      <c r="D140" s="108"/>
      <c r="E140" s="108"/>
      <c r="F140" s="108"/>
      <c r="G140" s="108"/>
      <c r="H140" s="108"/>
      <c r="I140" s="108"/>
      <c r="J140" s="108"/>
      <c r="K140" s="273"/>
      <c r="L140" s="273"/>
      <c r="M140" s="274"/>
      <c r="N140" s="274"/>
      <c r="O140" s="274"/>
      <c r="P140" s="274"/>
      <c r="Q140" s="108"/>
      <c r="R140" s="117"/>
      <c r="Y140" s="117"/>
      <c r="Z140" s="117"/>
      <c r="AA140" s="117"/>
    </row>
    <row r="141" spans="1:27">
      <c r="A141" s="273"/>
      <c r="B141" s="273"/>
      <c r="C141" s="108"/>
      <c r="D141" s="108"/>
      <c r="E141" s="108"/>
      <c r="F141" s="108"/>
      <c r="G141" s="108"/>
      <c r="H141" s="108"/>
      <c r="I141" s="108"/>
      <c r="J141" s="108"/>
      <c r="K141" s="273"/>
      <c r="L141" s="273"/>
      <c r="M141" s="274"/>
      <c r="N141" s="274"/>
      <c r="O141" s="274"/>
      <c r="P141" s="274"/>
      <c r="Q141" s="108"/>
      <c r="R141" s="117"/>
      <c r="Y141" s="117"/>
      <c r="Z141" s="117"/>
      <c r="AA141" s="117"/>
    </row>
    <row r="142" spans="1:27">
      <c r="A142" s="273"/>
      <c r="B142" s="273"/>
      <c r="C142" s="108"/>
      <c r="D142" s="108"/>
      <c r="E142" s="108"/>
      <c r="F142" s="108"/>
      <c r="G142" s="108"/>
      <c r="H142" s="108"/>
      <c r="I142" s="108"/>
      <c r="J142" s="108"/>
      <c r="K142" s="273"/>
      <c r="L142" s="273"/>
      <c r="M142" s="274"/>
      <c r="N142" s="274"/>
      <c r="O142" s="274"/>
      <c r="P142" s="274"/>
      <c r="Q142" s="108"/>
      <c r="R142" s="117"/>
      <c r="Y142" s="117"/>
      <c r="Z142" s="117"/>
      <c r="AA142" s="117"/>
    </row>
    <row r="143" spans="1:27">
      <c r="A143" s="273"/>
      <c r="B143" s="273"/>
      <c r="C143" s="108"/>
      <c r="D143" s="108"/>
      <c r="E143" s="108"/>
      <c r="F143" s="108"/>
      <c r="G143" s="108"/>
      <c r="H143" s="108"/>
      <c r="I143" s="108"/>
      <c r="J143" s="108"/>
      <c r="K143" s="273"/>
      <c r="L143" s="273"/>
      <c r="M143" s="274"/>
      <c r="N143" s="274"/>
      <c r="O143" s="274"/>
      <c r="P143" s="274"/>
      <c r="Q143" s="108"/>
      <c r="R143" s="117"/>
      <c r="Y143" s="117"/>
      <c r="Z143" s="117"/>
      <c r="AA143" s="117"/>
    </row>
    <row r="144" spans="1:27">
      <c r="A144" s="273"/>
      <c r="B144" s="273"/>
      <c r="C144" s="108"/>
      <c r="D144" s="108"/>
      <c r="E144" s="108"/>
      <c r="F144" s="108"/>
      <c r="G144" s="108"/>
      <c r="H144" s="108"/>
      <c r="I144" s="108"/>
      <c r="J144" s="108"/>
      <c r="K144" s="273"/>
      <c r="L144" s="273"/>
      <c r="M144" s="274"/>
      <c r="N144" s="274"/>
      <c r="O144" s="274"/>
      <c r="P144" s="274"/>
      <c r="Q144" s="108"/>
      <c r="R144" s="117"/>
      <c r="Y144" s="117"/>
      <c r="Z144" s="117"/>
      <c r="AA144" s="117"/>
    </row>
    <row r="145" spans="1:27">
      <c r="A145" s="273"/>
      <c r="B145" s="273"/>
      <c r="C145" s="108"/>
      <c r="D145" s="108"/>
      <c r="E145" s="108"/>
      <c r="F145" s="108"/>
      <c r="G145" s="108"/>
      <c r="H145" s="108"/>
      <c r="I145" s="108"/>
      <c r="J145" s="108"/>
      <c r="K145" s="273"/>
      <c r="L145" s="273"/>
      <c r="M145" s="274"/>
      <c r="N145" s="274"/>
      <c r="O145" s="274"/>
      <c r="P145" s="274"/>
      <c r="Q145" s="108"/>
      <c r="R145" s="117"/>
      <c r="Y145" s="117"/>
      <c r="Z145" s="117"/>
      <c r="AA145" s="117"/>
    </row>
    <row r="146" spans="1:27">
      <c r="A146" s="273"/>
      <c r="B146" s="273"/>
      <c r="C146" s="108"/>
      <c r="D146" s="108"/>
      <c r="E146" s="108"/>
      <c r="F146" s="108"/>
      <c r="G146" s="108"/>
      <c r="H146" s="108"/>
      <c r="I146" s="108"/>
      <c r="J146" s="108"/>
      <c r="K146" s="273"/>
      <c r="L146" s="273"/>
      <c r="M146" s="274"/>
      <c r="N146" s="274"/>
      <c r="O146" s="274"/>
      <c r="P146" s="274"/>
      <c r="Q146" s="108"/>
      <c r="R146" s="117"/>
      <c r="Y146" s="117"/>
      <c r="Z146" s="117"/>
    </row>
    <row r="147" spans="1:27">
      <c r="A147" s="273"/>
      <c r="B147" s="273"/>
      <c r="C147" s="108"/>
      <c r="D147" s="108"/>
      <c r="E147" s="108"/>
      <c r="F147" s="108"/>
      <c r="G147" s="108"/>
      <c r="H147" s="108"/>
      <c r="I147" s="108"/>
      <c r="J147" s="108"/>
      <c r="K147" s="273"/>
      <c r="L147" s="273"/>
      <c r="M147" s="274"/>
      <c r="N147" s="274"/>
      <c r="O147" s="274"/>
      <c r="P147" s="274"/>
      <c r="Q147" s="108"/>
    </row>
    <row r="148" spans="1:27">
      <c r="A148" s="273"/>
      <c r="B148" s="273"/>
      <c r="C148" s="108"/>
      <c r="D148" s="108"/>
      <c r="E148" s="108"/>
      <c r="F148" s="108"/>
      <c r="G148" s="108"/>
      <c r="H148" s="108"/>
      <c r="I148" s="108"/>
      <c r="J148" s="108"/>
      <c r="K148" s="273"/>
      <c r="L148" s="273"/>
      <c r="M148" s="274"/>
      <c r="N148" s="274"/>
      <c r="O148" s="274"/>
      <c r="P148" s="274"/>
      <c r="Q148" s="108"/>
    </row>
    <row r="149" spans="1:27">
      <c r="A149" s="273"/>
      <c r="B149" s="273"/>
      <c r="C149" s="108"/>
      <c r="D149" s="108"/>
      <c r="E149" s="108"/>
      <c r="F149" s="108"/>
      <c r="G149" s="108"/>
      <c r="H149" s="108"/>
      <c r="I149" s="108"/>
      <c r="J149" s="108"/>
      <c r="K149" s="273"/>
      <c r="L149" s="273"/>
      <c r="M149" s="274"/>
      <c r="N149" s="274"/>
      <c r="O149" s="274"/>
      <c r="P149" s="274"/>
      <c r="Q149" s="108"/>
    </row>
    <row r="150" spans="1:27">
      <c r="A150" s="273"/>
      <c r="B150" s="273"/>
      <c r="C150" s="108"/>
      <c r="D150" s="108"/>
      <c r="E150" s="108"/>
      <c r="F150" s="108"/>
      <c r="G150" s="108"/>
      <c r="H150" s="108"/>
      <c r="I150" s="108"/>
      <c r="J150" s="108"/>
      <c r="K150" s="273"/>
      <c r="L150" s="273"/>
      <c r="M150" s="274"/>
      <c r="N150" s="274"/>
      <c r="O150" s="274"/>
      <c r="P150" s="274"/>
      <c r="Q150" s="108"/>
    </row>
    <row r="151" spans="1:27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27">
      <c r="L152" s="238"/>
    </row>
    <row r="153" spans="1:27">
      <c r="L153" s="238"/>
    </row>
    <row r="154" spans="1:27">
      <c r="L154" s="238"/>
    </row>
    <row r="155" spans="1:27">
      <c r="L155" s="238"/>
    </row>
    <row r="156" spans="1:27">
      <c r="L156" s="238"/>
    </row>
    <row r="157" spans="1:27">
      <c r="L157" s="238"/>
    </row>
    <row r="158" spans="1:27">
      <c r="L158" s="238"/>
    </row>
    <row r="159" spans="1:27">
      <c r="L159" s="238"/>
    </row>
    <row r="160" spans="1:27">
      <c r="L160" s="238"/>
    </row>
    <row r="161" spans="12:12">
      <c r="L161" s="238"/>
    </row>
    <row r="162" spans="12:12">
      <c r="L162" s="238"/>
    </row>
    <row r="163" spans="12:12">
      <c r="L163" s="238"/>
    </row>
    <row r="164" spans="12:12">
      <c r="L164" s="238"/>
    </row>
    <row r="165" spans="12:12">
      <c r="L165" s="238"/>
    </row>
    <row r="166" spans="12:12">
      <c r="L166" s="238"/>
    </row>
    <row r="167" spans="12:12">
      <c r="L167" s="238"/>
    </row>
    <row r="168" spans="12:12">
      <c r="L168" s="238"/>
    </row>
    <row r="169" spans="12:12">
      <c r="L169" s="238"/>
    </row>
    <row r="170" spans="12:12">
      <c r="L170" s="238"/>
    </row>
    <row r="171" spans="12:12">
      <c r="L171" s="238"/>
    </row>
    <row r="172" spans="12:12">
      <c r="L172" s="238"/>
    </row>
    <row r="173" spans="12:12">
      <c r="L173" s="238"/>
    </row>
    <row r="174" spans="12:12">
      <c r="L174" s="238"/>
    </row>
    <row r="175" spans="12:12">
      <c r="L175" s="238"/>
    </row>
    <row r="176" spans="12:12">
      <c r="L176" s="238"/>
    </row>
    <row r="177" spans="12:20">
      <c r="L177" s="238"/>
    </row>
    <row r="178" spans="12:20">
      <c r="L178" s="238"/>
    </row>
    <row r="179" spans="12:20">
      <c r="L179" s="238"/>
    </row>
    <row r="180" spans="12:20">
      <c r="L180" s="238"/>
    </row>
    <row r="181" spans="12:20">
      <c r="L181" s="238"/>
    </row>
    <row r="182" spans="12:20">
      <c r="L182" s="238"/>
    </row>
    <row r="183" spans="12:20">
      <c r="L183" s="238"/>
    </row>
    <row r="184" spans="12:20">
      <c r="L184" s="238"/>
    </row>
    <row r="185" spans="12:20">
      <c r="L185" s="238"/>
    </row>
    <row r="186" spans="12:20">
      <c r="L186" s="238"/>
    </row>
    <row r="187" spans="12:20">
      <c r="L187" s="237"/>
      <c r="T187" s="237"/>
    </row>
    <row r="188" spans="12:20">
      <c r="L188" s="237"/>
      <c r="T188" s="237"/>
    </row>
    <row r="189" spans="12:20">
      <c r="L189" s="237"/>
      <c r="T189" s="237"/>
    </row>
    <row r="190" spans="12:20">
      <c r="L190" s="237"/>
      <c r="T190" s="237"/>
    </row>
    <row r="191" spans="12:20">
      <c r="L191" s="237"/>
      <c r="T191" s="237"/>
    </row>
    <row r="192" spans="12:20">
      <c r="L192" s="237"/>
      <c r="T192" s="237"/>
    </row>
    <row r="193" spans="12:20">
      <c r="L193" s="237"/>
      <c r="T193" s="237"/>
    </row>
    <row r="194" spans="12:20">
      <c r="L194" s="237"/>
      <c r="T194" s="237"/>
    </row>
    <row r="195" spans="12:20">
      <c r="L195" s="237"/>
      <c r="T195" s="237"/>
    </row>
    <row r="196" spans="12:20">
      <c r="L196" s="237"/>
      <c r="T196" s="237"/>
    </row>
    <row r="197" spans="12:20">
      <c r="L197" s="237"/>
      <c r="T197" s="237"/>
    </row>
    <row r="198" spans="12:20">
      <c r="L198" s="237"/>
      <c r="T198" s="237"/>
    </row>
    <row r="199" spans="12:20">
      <c r="L199" s="237"/>
      <c r="T199" s="237"/>
    </row>
    <row r="200" spans="12:20">
      <c r="L200" s="237"/>
      <c r="T200" s="237"/>
    </row>
    <row r="201" spans="12:20">
      <c r="L201" s="237"/>
      <c r="T201" s="237"/>
    </row>
    <row r="202" spans="12:20">
      <c r="L202" s="237"/>
      <c r="T202" s="237"/>
    </row>
    <row r="203" spans="12:20">
      <c r="L203" s="237"/>
      <c r="T203" s="237"/>
    </row>
    <row r="204" spans="12:20">
      <c r="T204" s="237"/>
    </row>
    <row r="205" spans="12:20">
      <c r="T205" s="237"/>
    </row>
    <row r="206" spans="12:20">
      <c r="T206" s="237"/>
    </row>
    <row r="207" spans="12:20">
      <c r="T207" s="237"/>
    </row>
    <row r="208" spans="12:20">
      <c r="T208" s="237"/>
    </row>
    <row r="209" spans="20:20">
      <c r="T209" s="237"/>
    </row>
    <row r="210" spans="20:20">
      <c r="T210" s="237"/>
    </row>
    <row r="211" spans="20:20">
      <c r="T211" s="237"/>
    </row>
    <row r="212" spans="20:20">
      <c r="T212" s="237"/>
    </row>
    <row r="213" spans="20:20">
      <c r="T213" s="237"/>
    </row>
    <row r="214" spans="20:20">
      <c r="T214" s="237"/>
    </row>
    <row r="215" spans="20:20">
      <c r="T215" s="237"/>
    </row>
    <row r="216" spans="20:20">
      <c r="T216" s="237"/>
    </row>
    <row r="217" spans="20:20">
      <c r="T217" s="237"/>
    </row>
    <row r="218" spans="20:20">
      <c r="T218" s="237"/>
    </row>
    <row r="219" spans="20:20">
      <c r="T219" s="237"/>
    </row>
    <row r="220" spans="20:20">
      <c r="T220" s="237"/>
    </row>
    <row r="221" spans="20:20">
      <c r="T221" s="237"/>
    </row>
    <row r="222" spans="20:20">
      <c r="T222" s="237"/>
    </row>
    <row r="223" spans="20:20">
      <c r="T223" s="237"/>
    </row>
    <row r="224" spans="20:20">
      <c r="T224" s="237"/>
    </row>
    <row r="225" spans="20:20">
      <c r="T225" s="237"/>
    </row>
    <row r="226" spans="20:20">
      <c r="T226" s="237"/>
    </row>
    <row r="227" spans="20:20">
      <c r="T227" s="237"/>
    </row>
    <row r="228" spans="20:20">
      <c r="T228" s="237"/>
    </row>
    <row r="229" spans="20:20">
      <c r="T229" s="237"/>
    </row>
    <row r="230" spans="20:20">
      <c r="T230" s="237"/>
    </row>
    <row r="231" spans="20:20">
      <c r="T231" s="237"/>
    </row>
    <row r="232" spans="20:20">
      <c r="T232" s="237"/>
    </row>
    <row r="233" spans="20:20">
      <c r="T233" s="237"/>
    </row>
    <row r="234" spans="20:20">
      <c r="T234" s="237"/>
    </row>
    <row r="235" spans="20:20">
      <c r="T235" s="237"/>
    </row>
    <row r="236" spans="20:20">
      <c r="T236" s="237"/>
    </row>
    <row r="237" spans="20:20">
      <c r="T237" s="237"/>
    </row>
    <row r="238" spans="20:20">
      <c r="T238" s="237"/>
    </row>
    <row r="239" spans="20:20">
      <c r="T239" s="237"/>
    </row>
    <row r="240" spans="20:20">
      <c r="T240" s="237"/>
    </row>
    <row r="241" spans="20:20">
      <c r="T241" s="237"/>
    </row>
    <row r="242" spans="20:20">
      <c r="T242" s="237"/>
    </row>
    <row r="243" spans="20:20">
      <c r="T243" s="237"/>
    </row>
    <row r="244" spans="20:20">
      <c r="T244" s="237"/>
    </row>
    <row r="245" spans="20:20">
      <c r="T245" s="237"/>
    </row>
    <row r="246" spans="20:20">
      <c r="T246" s="237"/>
    </row>
    <row r="247" spans="20:20">
      <c r="T247" s="237"/>
    </row>
    <row r="248" spans="20:20">
      <c r="T248" s="237"/>
    </row>
    <row r="249" spans="20:20">
      <c r="T249" s="237"/>
    </row>
    <row r="250" spans="20:20">
      <c r="T250" s="237"/>
    </row>
    <row r="251" spans="20:20">
      <c r="T251" s="237"/>
    </row>
    <row r="252" spans="20:20">
      <c r="T252" s="237"/>
    </row>
    <row r="253" spans="20:20">
      <c r="T253" s="237"/>
    </row>
    <row r="254" spans="20:20">
      <c r="T254" s="237"/>
    </row>
    <row r="255" spans="20:20">
      <c r="T255" s="237"/>
    </row>
    <row r="256" spans="20:20">
      <c r="T256" s="237"/>
    </row>
    <row r="257" spans="20:20">
      <c r="T257" s="237"/>
    </row>
    <row r="258" spans="20:20">
      <c r="T258" s="237"/>
    </row>
    <row r="259" spans="20:20">
      <c r="T259" s="237"/>
    </row>
    <row r="260" spans="20:20">
      <c r="T260" s="237"/>
    </row>
    <row r="261" spans="20:20">
      <c r="T261" s="237"/>
    </row>
    <row r="262" spans="20:20">
      <c r="T262" s="237"/>
    </row>
    <row r="263" spans="20:20">
      <c r="T263" s="237"/>
    </row>
    <row r="264" spans="20:20">
      <c r="T264" s="237"/>
    </row>
    <row r="265" spans="20:20">
      <c r="T265" s="237"/>
    </row>
    <row r="266" spans="20:20">
      <c r="T266" s="237"/>
    </row>
    <row r="267" spans="20:20">
      <c r="T267" s="237"/>
    </row>
    <row r="268" spans="20:20">
      <c r="T268" s="237"/>
    </row>
    <row r="269" spans="20:20">
      <c r="T269" s="237"/>
    </row>
    <row r="270" spans="20:20">
      <c r="T270" s="237"/>
    </row>
    <row r="271" spans="20:20">
      <c r="T271" s="237"/>
    </row>
    <row r="272" spans="20:20">
      <c r="T272" s="237"/>
    </row>
    <row r="273" spans="20:20">
      <c r="T273" s="237"/>
    </row>
    <row r="274" spans="20:20">
      <c r="T274" s="237"/>
    </row>
    <row r="275" spans="20:20">
      <c r="T275" s="237"/>
    </row>
    <row r="276" spans="20:20">
      <c r="T276" s="237"/>
    </row>
    <row r="277" spans="20:20">
      <c r="T277" s="237"/>
    </row>
    <row r="278" spans="20:20">
      <c r="T278" s="237"/>
    </row>
    <row r="279" spans="20:20">
      <c r="T279" s="237"/>
    </row>
    <row r="280" spans="20:20">
      <c r="T280" s="237"/>
    </row>
    <row r="281" spans="20:20">
      <c r="T281" s="237"/>
    </row>
    <row r="282" spans="20:20">
      <c r="T282" s="237"/>
    </row>
    <row r="283" spans="20:20">
      <c r="T283" s="237"/>
    </row>
    <row r="284" spans="20:20">
      <c r="T284" s="237"/>
    </row>
    <row r="285" spans="20:20">
      <c r="T285" s="237"/>
    </row>
    <row r="286" spans="20:20">
      <c r="T286" s="237"/>
    </row>
    <row r="287" spans="20:20">
      <c r="T287" s="237"/>
    </row>
    <row r="288" spans="20:20">
      <c r="T288" s="237"/>
    </row>
    <row r="289" spans="20:20">
      <c r="T289" s="237"/>
    </row>
    <row r="290" spans="20:20">
      <c r="T290" s="237"/>
    </row>
    <row r="291" spans="20:20">
      <c r="T291" s="237"/>
    </row>
    <row r="292" spans="20:20">
      <c r="T292" s="237"/>
    </row>
    <row r="293" spans="20:20">
      <c r="T293" s="237"/>
    </row>
    <row r="294" spans="20:20">
      <c r="T294" s="237"/>
    </row>
    <row r="295" spans="20:20">
      <c r="T295" s="237"/>
    </row>
    <row r="296" spans="20:20">
      <c r="T296" s="237"/>
    </row>
    <row r="297" spans="20:20">
      <c r="T297" s="237"/>
    </row>
    <row r="298" spans="20:20">
      <c r="T298" s="237"/>
    </row>
    <row r="299" spans="20:20">
      <c r="T299" s="237"/>
    </row>
    <row r="300" spans="20:20">
      <c r="T300" s="237"/>
    </row>
    <row r="301" spans="20:20">
      <c r="T301" s="237"/>
    </row>
    <row r="302" spans="20:20">
      <c r="T302" s="237"/>
    </row>
    <row r="303" spans="20:20">
      <c r="T303" s="237"/>
    </row>
    <row r="304" spans="20:20">
      <c r="T304" s="237"/>
    </row>
    <row r="305" spans="12:20">
      <c r="T305" s="237"/>
    </row>
    <row r="306" spans="12:20">
      <c r="T306" s="237"/>
    </row>
    <row r="307" spans="12:20">
      <c r="T307" s="237"/>
    </row>
    <row r="308" spans="12:20">
      <c r="L308" s="237"/>
      <c r="T308" s="237"/>
    </row>
    <row r="309" spans="12:20">
      <c r="L309" s="237"/>
      <c r="T309" s="237"/>
    </row>
    <row r="310" spans="12:20">
      <c r="L310" s="237"/>
      <c r="T310" s="237"/>
    </row>
    <row r="311" spans="12:20">
      <c r="L311" s="237"/>
      <c r="T311" s="237"/>
    </row>
    <row r="312" spans="12:20">
      <c r="L312" s="237"/>
      <c r="T312" s="237"/>
    </row>
    <row r="313" spans="12:20">
      <c r="L313" s="237"/>
      <c r="T313" s="237"/>
    </row>
    <row r="314" spans="12:20">
      <c r="L314" s="237"/>
      <c r="T314" s="237"/>
    </row>
    <row r="315" spans="12:20">
      <c r="L315" s="237"/>
      <c r="T315" s="237"/>
    </row>
    <row r="316" spans="12:20">
      <c r="L316" s="237"/>
      <c r="T316" s="237"/>
    </row>
    <row r="317" spans="12:20">
      <c r="L317" s="237"/>
      <c r="T317" s="237"/>
    </row>
    <row r="318" spans="12:20">
      <c r="L318" s="237"/>
      <c r="T318" s="237"/>
    </row>
    <row r="319" spans="12:20">
      <c r="L319" s="237"/>
      <c r="T319" s="237"/>
    </row>
    <row r="320" spans="12:20">
      <c r="L320" s="237"/>
      <c r="T320" s="237"/>
    </row>
    <row r="321" spans="12:20">
      <c r="L321" s="237"/>
      <c r="T321" s="237"/>
    </row>
    <row r="322" spans="12:20">
      <c r="L322" s="237"/>
      <c r="T322" s="237"/>
    </row>
    <row r="323" spans="12:20">
      <c r="L323" s="237"/>
      <c r="T323" s="237"/>
    </row>
    <row r="324" spans="12:20">
      <c r="L324" s="237"/>
      <c r="T324" s="237"/>
    </row>
    <row r="325" spans="12:20">
      <c r="L325" s="237"/>
      <c r="T325" s="237"/>
    </row>
    <row r="326" spans="12:20">
      <c r="L326" s="237"/>
      <c r="T326" s="237"/>
    </row>
    <row r="327" spans="12:20">
      <c r="L327" s="237"/>
      <c r="T327" s="237"/>
    </row>
    <row r="328" spans="12:20">
      <c r="L328" s="237"/>
      <c r="T328" s="237"/>
    </row>
    <row r="329" spans="12:20">
      <c r="L329" s="237"/>
      <c r="T329" s="237"/>
    </row>
    <row r="330" spans="12:20">
      <c r="L330" s="237"/>
      <c r="T330" s="237"/>
    </row>
    <row r="331" spans="12:20">
      <c r="L331" s="237"/>
      <c r="T331" s="237"/>
    </row>
    <row r="332" spans="12:20">
      <c r="L332" s="237"/>
      <c r="T332" s="237"/>
    </row>
    <row r="333" spans="12:20">
      <c r="L333" s="237"/>
      <c r="T333" s="237"/>
    </row>
    <row r="334" spans="12:20">
      <c r="L334" s="237"/>
      <c r="T334" s="237"/>
    </row>
    <row r="335" spans="12:20">
      <c r="L335" s="237"/>
      <c r="T335" s="237"/>
    </row>
    <row r="336" spans="12:20">
      <c r="L336" s="237"/>
      <c r="T336" s="237"/>
    </row>
    <row r="337" spans="12:20">
      <c r="L337" s="237"/>
      <c r="T337" s="237"/>
    </row>
    <row r="338" spans="12:20">
      <c r="L338" s="237"/>
      <c r="T338" s="237"/>
    </row>
    <row r="339" spans="12:20">
      <c r="L339" s="237"/>
      <c r="T339" s="237"/>
    </row>
    <row r="340" spans="12:20">
      <c r="L340" s="237"/>
      <c r="T340" s="237"/>
    </row>
    <row r="341" spans="12:20">
      <c r="L341" s="237"/>
      <c r="T341" s="237"/>
    </row>
    <row r="342" spans="12:20">
      <c r="L342" s="237"/>
      <c r="T342" s="237"/>
    </row>
    <row r="343" spans="12:20">
      <c r="L343" s="237"/>
      <c r="T343" s="237"/>
    </row>
    <row r="344" spans="12:20">
      <c r="L344" s="237"/>
      <c r="T344" s="237"/>
    </row>
    <row r="345" spans="12:20">
      <c r="L345" s="237"/>
      <c r="T345" s="237"/>
    </row>
    <row r="346" spans="12:20">
      <c r="L346" s="237"/>
      <c r="T346" s="237"/>
    </row>
    <row r="347" spans="12:20">
      <c r="L347" s="237"/>
      <c r="T347" s="237"/>
    </row>
    <row r="348" spans="12:20">
      <c r="L348" s="237"/>
      <c r="T348" s="237"/>
    </row>
    <row r="349" spans="12:20">
      <c r="L349" s="237"/>
      <c r="T349" s="237"/>
    </row>
    <row r="350" spans="12:20">
      <c r="L350" s="237"/>
      <c r="T350" s="237"/>
    </row>
    <row r="351" spans="12:20">
      <c r="L351" s="237"/>
      <c r="T351" s="237"/>
    </row>
    <row r="352" spans="12:20">
      <c r="L352" s="237"/>
      <c r="T352" s="237"/>
    </row>
    <row r="353" spans="12:20">
      <c r="L353" s="237"/>
      <c r="T353" s="237"/>
    </row>
    <row r="354" spans="12:20">
      <c r="L354" s="237"/>
      <c r="T354" s="237"/>
    </row>
    <row r="355" spans="12:20">
      <c r="L355" s="237"/>
      <c r="T355" s="237"/>
    </row>
    <row r="356" spans="12:20">
      <c r="L356" s="237"/>
      <c r="T356" s="237"/>
    </row>
    <row r="357" spans="12:20">
      <c r="L357" s="237"/>
      <c r="T357" s="237"/>
    </row>
    <row r="358" spans="12:20">
      <c r="L358" s="237"/>
      <c r="T358" s="237"/>
    </row>
    <row r="359" spans="12:20">
      <c r="L359" s="237"/>
      <c r="T359" s="237"/>
    </row>
    <row r="360" spans="12:20">
      <c r="L360" s="237"/>
      <c r="T360" s="237"/>
    </row>
    <row r="361" spans="12:20">
      <c r="L361" s="238"/>
    </row>
    <row r="362" spans="12:20">
      <c r="L362" s="238"/>
    </row>
    <row r="363" spans="12:20">
      <c r="L363" s="238"/>
    </row>
    <row r="364" spans="12:20">
      <c r="L364" s="238"/>
    </row>
    <row r="365" spans="12:20">
      <c r="L365" s="238"/>
    </row>
    <row r="366" spans="12:20">
      <c r="L366" s="238"/>
    </row>
    <row r="367" spans="12:20">
      <c r="L367" s="238"/>
    </row>
    <row r="368" spans="12:20">
      <c r="L368" s="238"/>
    </row>
    <row r="369" spans="12:12">
      <c r="L369" s="238"/>
    </row>
    <row r="370" spans="12:12">
      <c r="L370" s="238"/>
    </row>
    <row r="371" spans="12:12">
      <c r="L371" s="238"/>
    </row>
    <row r="372" spans="12:12">
      <c r="L372" s="238"/>
    </row>
    <row r="373" spans="12:12">
      <c r="L373" s="238"/>
    </row>
    <row r="374" spans="12:12">
      <c r="L374" s="238"/>
    </row>
    <row r="375" spans="12:12">
      <c r="L375" s="238"/>
    </row>
    <row r="376" spans="12:12">
      <c r="L376" s="238"/>
    </row>
    <row r="377" spans="12:12">
      <c r="L377" s="238"/>
    </row>
    <row r="378" spans="12:12">
      <c r="L378" s="238"/>
    </row>
    <row r="379" spans="12:12">
      <c r="L379" s="238"/>
    </row>
    <row r="380" spans="12:12">
      <c r="L380" s="238"/>
    </row>
    <row r="381" spans="12:12">
      <c r="L381" s="238"/>
    </row>
    <row r="382" spans="12:12">
      <c r="L382" s="238"/>
    </row>
    <row r="383" spans="12:12">
      <c r="L383" s="238"/>
    </row>
    <row r="384" spans="12:12">
      <c r="L384" s="238"/>
    </row>
    <row r="385" spans="12:12">
      <c r="L385" s="238"/>
    </row>
    <row r="386" spans="12:12">
      <c r="L386" s="238"/>
    </row>
    <row r="387" spans="12:12">
      <c r="L387" s="238"/>
    </row>
    <row r="388" spans="12:12">
      <c r="L388" s="238"/>
    </row>
    <row r="389" spans="12:12">
      <c r="L389" s="238"/>
    </row>
    <row r="390" spans="12:12">
      <c r="L390" s="238"/>
    </row>
    <row r="391" spans="12:12">
      <c r="L391" s="238"/>
    </row>
    <row r="392" spans="12:12">
      <c r="L392" s="238"/>
    </row>
    <row r="393" spans="12:12">
      <c r="L393" s="238"/>
    </row>
    <row r="394" spans="12:12">
      <c r="L394" s="238"/>
    </row>
    <row r="395" spans="12:12">
      <c r="L395" s="238"/>
    </row>
    <row r="396" spans="12:12">
      <c r="L396" s="238"/>
    </row>
    <row r="397" spans="12:12">
      <c r="L397" s="238"/>
    </row>
    <row r="398" spans="12:12">
      <c r="L398" s="238"/>
    </row>
    <row r="399" spans="12:12">
      <c r="L399" s="238"/>
    </row>
    <row r="400" spans="12:12">
      <c r="L400" s="238"/>
    </row>
    <row r="401" spans="12:12">
      <c r="L401" s="238"/>
    </row>
    <row r="402" spans="12:12">
      <c r="L402" s="238"/>
    </row>
    <row r="403" spans="12:12">
      <c r="L403" s="238"/>
    </row>
    <row r="404" spans="12:12">
      <c r="L404" s="238"/>
    </row>
    <row r="405" spans="12:12">
      <c r="L405" s="238"/>
    </row>
    <row r="406" spans="12:12">
      <c r="L406" s="238"/>
    </row>
    <row r="407" spans="12:12">
      <c r="L407" s="238"/>
    </row>
    <row r="408" spans="12:12">
      <c r="L408" s="238"/>
    </row>
    <row r="409" spans="12:12">
      <c r="L409" s="238"/>
    </row>
    <row r="410" spans="12:12">
      <c r="L410" s="238"/>
    </row>
    <row r="411" spans="12:12">
      <c r="L411" s="238"/>
    </row>
    <row r="412" spans="12:12">
      <c r="L412" s="238"/>
    </row>
    <row r="413" spans="12:12">
      <c r="L413" s="238"/>
    </row>
    <row r="414" spans="12:12">
      <c r="L414" s="238"/>
    </row>
    <row r="415" spans="12:12">
      <c r="L415" s="238"/>
    </row>
    <row r="416" spans="12:12">
      <c r="L416" s="238"/>
    </row>
    <row r="417" spans="12:12">
      <c r="L417" s="238"/>
    </row>
    <row r="418" spans="12:12">
      <c r="L418" s="238"/>
    </row>
    <row r="419" spans="12:12">
      <c r="L419" s="238"/>
    </row>
    <row r="420" spans="12:12">
      <c r="L420" s="238"/>
    </row>
    <row r="421" spans="12:12">
      <c r="L421" s="238"/>
    </row>
    <row r="422" spans="12:12">
      <c r="L422" s="238"/>
    </row>
    <row r="423" spans="12:12">
      <c r="L423" s="238"/>
    </row>
    <row r="424" spans="12:12">
      <c r="L424" s="238"/>
    </row>
    <row r="425" spans="12:12">
      <c r="L425" s="238"/>
    </row>
    <row r="426" spans="12:12">
      <c r="L426" s="238"/>
    </row>
    <row r="427" spans="12:12">
      <c r="L427" s="238"/>
    </row>
    <row r="428" spans="12:12">
      <c r="L428" s="238"/>
    </row>
    <row r="429" spans="12:12">
      <c r="L429" s="238"/>
    </row>
    <row r="430" spans="12:12">
      <c r="L430" s="238"/>
    </row>
    <row r="431" spans="12:12">
      <c r="L431" s="238"/>
    </row>
    <row r="432" spans="12:12">
      <c r="L432" s="238"/>
    </row>
    <row r="433" spans="12:12">
      <c r="L433" s="238"/>
    </row>
    <row r="434" spans="12:12">
      <c r="L434" s="238"/>
    </row>
    <row r="435" spans="12:12">
      <c r="L435" s="238"/>
    </row>
    <row r="436" spans="12:12">
      <c r="L436" s="238"/>
    </row>
    <row r="437" spans="12:12">
      <c r="L437" s="238"/>
    </row>
    <row r="438" spans="12:12">
      <c r="L438" s="238"/>
    </row>
    <row r="439" spans="12:12">
      <c r="L439" s="238"/>
    </row>
    <row r="440" spans="12:12">
      <c r="L440" s="238"/>
    </row>
    <row r="441" spans="12:12">
      <c r="L441" s="238"/>
    </row>
    <row r="442" spans="12:12">
      <c r="L442" s="238"/>
    </row>
    <row r="443" spans="12:12">
      <c r="L443" s="238"/>
    </row>
    <row r="444" spans="12:12">
      <c r="L444" s="238"/>
    </row>
    <row r="445" spans="12:12">
      <c r="L445" s="238"/>
    </row>
    <row r="446" spans="12:12">
      <c r="L446" s="238"/>
    </row>
    <row r="447" spans="12:12">
      <c r="L447" s="238"/>
    </row>
    <row r="448" spans="12:12">
      <c r="L448" s="238"/>
    </row>
    <row r="449" spans="12:12">
      <c r="L449" s="238"/>
    </row>
    <row r="450" spans="12:12">
      <c r="L450" s="238"/>
    </row>
    <row r="451" spans="12:12">
      <c r="L451" s="238"/>
    </row>
    <row r="452" spans="12:12">
      <c r="L452" s="238"/>
    </row>
    <row r="453" spans="12:12">
      <c r="L453" s="238"/>
    </row>
    <row r="454" spans="12:12">
      <c r="L454" s="238"/>
    </row>
    <row r="455" spans="12:12">
      <c r="L455" s="238"/>
    </row>
    <row r="456" spans="12:12">
      <c r="L456" s="238"/>
    </row>
    <row r="457" spans="12:12">
      <c r="L457" s="238"/>
    </row>
    <row r="458" spans="12:12">
      <c r="L458" s="238"/>
    </row>
    <row r="459" spans="12:12">
      <c r="L459" s="238"/>
    </row>
    <row r="460" spans="12:12">
      <c r="L460" s="238"/>
    </row>
    <row r="461" spans="12:12">
      <c r="L461" s="238"/>
    </row>
    <row r="462" spans="12:12">
      <c r="L462" s="238"/>
    </row>
    <row r="463" spans="12:12">
      <c r="L463" s="238"/>
    </row>
    <row r="464" spans="12:12">
      <c r="L464" s="238"/>
    </row>
    <row r="465" spans="12:12">
      <c r="L465" s="238"/>
    </row>
    <row r="466" spans="12:12">
      <c r="L466" s="238"/>
    </row>
    <row r="467" spans="12:12">
      <c r="L467" s="238"/>
    </row>
    <row r="468" spans="12:12">
      <c r="L468" s="238"/>
    </row>
    <row r="469" spans="12:12">
      <c r="L469" s="238"/>
    </row>
    <row r="470" spans="12:12">
      <c r="L470" s="238"/>
    </row>
    <row r="471" spans="12:12">
      <c r="L471" s="238"/>
    </row>
    <row r="472" spans="12:12">
      <c r="L472" s="238"/>
    </row>
    <row r="473" spans="12:12">
      <c r="L473" s="238"/>
    </row>
    <row r="474" spans="12:12">
      <c r="L474" s="238"/>
    </row>
    <row r="475" spans="12:12">
      <c r="L475" s="238"/>
    </row>
    <row r="476" spans="12:12">
      <c r="L476" s="238"/>
    </row>
    <row r="477" spans="12:12">
      <c r="L477" s="238"/>
    </row>
    <row r="478" spans="12:12">
      <c r="L478" s="238"/>
    </row>
    <row r="479" spans="12:12">
      <c r="L479" s="238"/>
    </row>
    <row r="480" spans="12:12">
      <c r="L480" s="238"/>
    </row>
    <row r="481" spans="12:12">
      <c r="L481" s="238"/>
    </row>
    <row r="482" spans="12:12">
      <c r="L482" s="238"/>
    </row>
    <row r="483" spans="12:12">
      <c r="L483" s="238"/>
    </row>
    <row r="484" spans="12:12">
      <c r="L484" s="238"/>
    </row>
    <row r="485" spans="12:12">
      <c r="L485" s="238"/>
    </row>
    <row r="486" spans="12:12">
      <c r="L486" s="238"/>
    </row>
    <row r="487" spans="12:12">
      <c r="L487" s="238"/>
    </row>
    <row r="488" spans="12:12">
      <c r="L488" s="238"/>
    </row>
    <row r="489" spans="12:12">
      <c r="L489" s="238"/>
    </row>
    <row r="490" spans="12:12">
      <c r="L490" s="238"/>
    </row>
    <row r="491" spans="12:12">
      <c r="L491" s="238"/>
    </row>
    <row r="492" spans="12:12">
      <c r="L492" s="238"/>
    </row>
    <row r="493" spans="12:12">
      <c r="L493" s="238"/>
    </row>
    <row r="494" spans="12:12">
      <c r="L494" s="238"/>
    </row>
    <row r="495" spans="12:12">
      <c r="L495" s="238"/>
    </row>
    <row r="496" spans="12:12">
      <c r="L496" s="238"/>
    </row>
    <row r="497" spans="12:12">
      <c r="L497" s="238"/>
    </row>
    <row r="498" spans="12:12">
      <c r="L498" s="238"/>
    </row>
    <row r="499" spans="12:12">
      <c r="L499" s="238"/>
    </row>
    <row r="500" spans="12:12">
      <c r="L500" s="238"/>
    </row>
    <row r="501" spans="12:12">
      <c r="L501" s="238"/>
    </row>
    <row r="502" spans="12:12">
      <c r="L502" s="238"/>
    </row>
    <row r="503" spans="12:12">
      <c r="L503" s="238"/>
    </row>
    <row r="504" spans="12:12">
      <c r="L504" s="238"/>
    </row>
    <row r="505" spans="12:12">
      <c r="L505" s="238"/>
    </row>
    <row r="506" spans="12:12">
      <c r="L506" s="238"/>
    </row>
    <row r="507" spans="12:12">
      <c r="L507" s="238"/>
    </row>
    <row r="508" spans="12:12">
      <c r="L508" s="238"/>
    </row>
    <row r="509" spans="12:12">
      <c r="L509" s="238"/>
    </row>
    <row r="510" spans="12:12">
      <c r="L510" s="238"/>
    </row>
    <row r="511" spans="12:12">
      <c r="L511" s="238"/>
    </row>
    <row r="512" spans="12:12">
      <c r="L512" s="238"/>
    </row>
    <row r="513" spans="12:12">
      <c r="L513" s="238"/>
    </row>
    <row r="514" spans="12:12">
      <c r="L514" s="238"/>
    </row>
    <row r="515" spans="12:12">
      <c r="L515" s="238"/>
    </row>
    <row r="516" spans="12:12">
      <c r="L516" s="238"/>
    </row>
    <row r="517" spans="12:12">
      <c r="L517" s="238"/>
    </row>
    <row r="518" spans="12:12">
      <c r="L518" s="238"/>
    </row>
    <row r="519" spans="12:12">
      <c r="L519" s="238"/>
    </row>
    <row r="520" spans="12:12">
      <c r="L520" s="238"/>
    </row>
    <row r="521" spans="12:12">
      <c r="L521" s="238"/>
    </row>
    <row r="522" spans="12:12">
      <c r="L522" s="238"/>
    </row>
    <row r="523" spans="12:12">
      <c r="L523" s="238"/>
    </row>
    <row r="524" spans="12:12">
      <c r="L524" s="238"/>
    </row>
    <row r="525" spans="12:12">
      <c r="L525" s="238"/>
    </row>
    <row r="526" spans="12:12">
      <c r="L526" s="238"/>
    </row>
    <row r="527" spans="12:12">
      <c r="L527" s="238"/>
    </row>
    <row r="528" spans="12:12">
      <c r="L528" s="238"/>
    </row>
    <row r="529" spans="12:12">
      <c r="L529" s="238"/>
    </row>
    <row r="530" spans="12:12">
      <c r="L530" s="238"/>
    </row>
    <row r="531" spans="12:12">
      <c r="L531" s="238"/>
    </row>
    <row r="532" spans="12:12">
      <c r="L532" s="238"/>
    </row>
    <row r="533" spans="12:12">
      <c r="L533" s="238"/>
    </row>
    <row r="534" spans="12:12">
      <c r="L534" s="238"/>
    </row>
    <row r="535" spans="12:12">
      <c r="L535" s="238"/>
    </row>
    <row r="536" spans="12:12">
      <c r="L536" s="238"/>
    </row>
    <row r="537" spans="12:12">
      <c r="L537" s="238"/>
    </row>
    <row r="538" spans="12:12">
      <c r="L538" s="238"/>
    </row>
    <row r="539" spans="12:12">
      <c r="L539" s="238"/>
    </row>
    <row r="540" spans="12:12">
      <c r="L540" s="238"/>
    </row>
    <row r="541" spans="12:12">
      <c r="L541" s="238"/>
    </row>
    <row r="542" spans="12:12">
      <c r="L542" s="238"/>
    </row>
    <row r="543" spans="12:12">
      <c r="L543" s="238"/>
    </row>
    <row r="544" spans="12:12">
      <c r="L544" s="238"/>
    </row>
    <row r="545" spans="12:12">
      <c r="L545" s="238"/>
    </row>
    <row r="546" spans="12:12">
      <c r="L546" s="238"/>
    </row>
    <row r="547" spans="12:12">
      <c r="L547" s="238"/>
    </row>
    <row r="548" spans="12:12">
      <c r="L548" s="238"/>
    </row>
    <row r="549" spans="12:12">
      <c r="L549" s="238"/>
    </row>
    <row r="550" spans="12:12">
      <c r="L550" s="238"/>
    </row>
    <row r="551" spans="12:12">
      <c r="L551" s="238"/>
    </row>
    <row r="552" spans="12:12">
      <c r="L552" s="238"/>
    </row>
    <row r="553" spans="12:12">
      <c r="L553" s="238"/>
    </row>
    <row r="554" spans="12:12">
      <c r="L554" s="238"/>
    </row>
    <row r="555" spans="12:12">
      <c r="L555" s="238"/>
    </row>
    <row r="556" spans="12:12">
      <c r="L556" s="238"/>
    </row>
    <row r="557" spans="12:12">
      <c r="L557" s="238"/>
    </row>
    <row r="558" spans="12:12">
      <c r="L558" s="238"/>
    </row>
    <row r="559" spans="12:12">
      <c r="L559" s="238"/>
    </row>
    <row r="560" spans="12:12">
      <c r="L560" s="238"/>
    </row>
    <row r="561" spans="12:12">
      <c r="L561" s="238"/>
    </row>
    <row r="562" spans="12:12">
      <c r="L562" s="238"/>
    </row>
    <row r="563" spans="12:12">
      <c r="L563" s="238"/>
    </row>
    <row r="564" spans="12:12">
      <c r="L564" s="238"/>
    </row>
    <row r="565" spans="12:12">
      <c r="L565" s="238"/>
    </row>
    <row r="566" spans="12:12">
      <c r="L566" s="238"/>
    </row>
    <row r="567" spans="12:12">
      <c r="L567" s="238"/>
    </row>
    <row r="568" spans="12:12">
      <c r="L568" s="238"/>
    </row>
    <row r="569" spans="12:12">
      <c r="L569" s="238"/>
    </row>
    <row r="570" spans="12:12">
      <c r="L570" s="238"/>
    </row>
    <row r="571" spans="12:12">
      <c r="L571" s="238"/>
    </row>
    <row r="572" spans="12:12">
      <c r="L572" s="238"/>
    </row>
    <row r="573" spans="12:12">
      <c r="L573" s="238"/>
    </row>
    <row r="574" spans="12:12">
      <c r="L574" s="238"/>
    </row>
    <row r="575" spans="12:12">
      <c r="L575" s="238"/>
    </row>
    <row r="576" spans="12:12">
      <c r="L576" s="238"/>
    </row>
    <row r="577" spans="12:12">
      <c r="L577" s="238"/>
    </row>
    <row r="578" spans="12:12">
      <c r="L578" s="238"/>
    </row>
    <row r="579" spans="12:12">
      <c r="L579" s="238"/>
    </row>
    <row r="580" spans="12:12">
      <c r="L580" s="238"/>
    </row>
    <row r="581" spans="12:12">
      <c r="L581" s="238"/>
    </row>
    <row r="582" spans="12:12">
      <c r="L582" s="238"/>
    </row>
    <row r="583" spans="12:12">
      <c r="L583" s="238"/>
    </row>
  </sheetData>
  <pageMargins left="0.15" right="0.59" top="0.73" bottom="0.51" header="0.25" footer="0.13"/>
  <pageSetup paperSize="9" orientation="landscape" blackAndWhite="1" horizontalDpi="300" verticalDpi="300" r:id="rId1"/>
  <headerFooter alignWithMargins="0">
    <oddHeader>&amp;L&amp;A&amp;R&amp;F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E21"/>
  <sheetViews>
    <sheetView workbookViewId="0">
      <selection activeCell="H14" sqref="H14"/>
    </sheetView>
  </sheetViews>
  <sheetFormatPr defaultRowHeight="12.75"/>
  <cols>
    <col min="1" max="2" width="3.7109375" customWidth="1"/>
    <col min="3" max="3" width="77.28515625" customWidth="1"/>
    <col min="4" max="5" width="3.7109375" customWidth="1"/>
  </cols>
  <sheetData>
    <row r="1" spans="1:5" s="1" customFormat="1" ht="15.75" thickBot="1">
      <c r="A1" s="43"/>
      <c r="B1" s="43"/>
      <c r="C1" s="44"/>
      <c r="D1" s="43"/>
      <c r="E1" s="43"/>
    </row>
    <row r="2" spans="1:5" s="1" customFormat="1" ht="15">
      <c r="A2" s="43"/>
      <c r="B2" s="9"/>
      <c r="C2" s="10"/>
      <c r="D2" s="11"/>
      <c r="E2" s="43"/>
    </row>
    <row r="3" spans="1:5" s="2" customFormat="1" ht="24.75">
      <c r="A3" s="45"/>
      <c r="B3" s="7"/>
      <c r="C3" s="12" t="s">
        <v>0</v>
      </c>
      <c r="D3" s="8"/>
      <c r="E3" s="45"/>
    </row>
    <row r="4" spans="1:5" s="1" customFormat="1" ht="15">
      <c r="A4" s="43"/>
      <c r="B4" s="3"/>
      <c r="C4" s="5"/>
      <c r="D4" s="4"/>
      <c r="E4" s="43"/>
    </row>
    <row r="5" spans="1:5" s="1" customFormat="1" ht="78">
      <c r="A5" s="43"/>
      <c r="B5" s="3"/>
      <c r="C5" s="6" t="s">
        <v>171</v>
      </c>
      <c r="D5" s="4"/>
      <c r="E5" s="43"/>
    </row>
    <row r="6" spans="1:5" s="51" customFormat="1">
      <c r="A6" s="47"/>
      <c r="B6" s="48"/>
      <c r="C6" s="49"/>
      <c r="D6" s="50"/>
      <c r="E6" s="47"/>
    </row>
    <row r="7" spans="1:5" s="1" customFormat="1" ht="58.5">
      <c r="A7" s="43"/>
      <c r="B7" s="3"/>
      <c r="C7" s="6" t="s">
        <v>172</v>
      </c>
      <c r="D7" s="4"/>
      <c r="E7" s="43"/>
    </row>
    <row r="8" spans="1:5" s="51" customFormat="1">
      <c r="A8" s="47"/>
      <c r="B8" s="48"/>
      <c r="C8" s="49"/>
      <c r="D8" s="50"/>
      <c r="E8" s="47"/>
    </row>
    <row r="9" spans="1:5" s="1" customFormat="1" ht="39">
      <c r="A9" s="43"/>
      <c r="B9" s="3"/>
      <c r="C9" s="6" t="s">
        <v>161</v>
      </c>
      <c r="D9" s="4"/>
      <c r="E9" s="43"/>
    </row>
    <row r="10" spans="1:5" s="1" customFormat="1" ht="19.5">
      <c r="A10" s="43"/>
      <c r="B10" s="3"/>
      <c r="C10" s="6"/>
      <c r="D10" s="4"/>
      <c r="E10" s="43"/>
    </row>
    <row r="11" spans="1:5" s="1" customFormat="1" ht="63">
      <c r="A11" s="43"/>
      <c r="B11" s="3"/>
      <c r="C11" s="52" t="s">
        <v>173</v>
      </c>
      <c r="D11" s="4"/>
      <c r="E11" s="43"/>
    </row>
    <row r="12" spans="1:5" s="51" customFormat="1">
      <c r="A12" s="47"/>
      <c r="B12" s="48"/>
      <c r="C12" s="49"/>
      <c r="D12" s="50"/>
      <c r="E12" s="47"/>
    </row>
    <row r="13" spans="1:5" s="1" customFormat="1" ht="39">
      <c r="A13" s="43"/>
      <c r="B13" s="3"/>
      <c r="C13" s="6" t="s">
        <v>170</v>
      </c>
      <c r="D13" s="4"/>
      <c r="E13" s="43"/>
    </row>
    <row r="14" spans="1:5" s="1" customFormat="1" ht="39">
      <c r="A14" s="43"/>
      <c r="B14" s="3"/>
      <c r="C14" s="6" t="s">
        <v>174</v>
      </c>
      <c r="D14" s="4"/>
      <c r="E14" s="43"/>
    </row>
    <row r="15" spans="1:5" s="1" customFormat="1" ht="19.5">
      <c r="A15" s="43"/>
      <c r="B15" s="3"/>
      <c r="C15" s="6"/>
      <c r="D15" s="4"/>
      <c r="E15" s="43"/>
    </row>
    <row r="16" spans="1:5" s="1" customFormat="1" ht="19.5">
      <c r="A16" s="43"/>
      <c r="B16" s="3"/>
      <c r="C16" s="6"/>
      <c r="D16" s="4"/>
      <c r="E16" s="43"/>
    </row>
    <row r="17" spans="1:5" s="1" customFormat="1" ht="19.5">
      <c r="A17" s="43"/>
      <c r="B17" s="3"/>
      <c r="C17" s="6"/>
      <c r="D17" s="4"/>
      <c r="E17" s="43"/>
    </row>
    <row r="18" spans="1:5" s="1" customFormat="1" ht="19.5">
      <c r="A18" s="43"/>
      <c r="B18" s="3"/>
      <c r="C18" s="6"/>
      <c r="D18" s="4"/>
      <c r="E18" s="43"/>
    </row>
    <row r="19" spans="1:5" ht="13.5" thickBot="1">
      <c r="A19" s="46"/>
      <c r="B19" s="13"/>
      <c r="C19" s="14"/>
      <c r="D19" s="15" t="s">
        <v>1</v>
      </c>
      <c r="E19" s="46"/>
    </row>
    <row r="20" spans="1:5">
      <c r="A20" s="46"/>
      <c r="B20" s="46"/>
      <c r="C20" s="46"/>
      <c r="D20" s="46"/>
      <c r="E20" s="46"/>
    </row>
    <row r="21" spans="1:5">
      <c r="A21" s="46"/>
      <c r="B21" s="46"/>
      <c r="C21" s="46"/>
      <c r="D21" s="46"/>
      <c r="E21" s="46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btnInterfce">
          <controlPr defaultSize="0" autoLine="0" r:id="rId5">
            <anchor moveWithCells="1">
              <from>
                <xdr:col>2</xdr:col>
                <xdr:colOff>1828800</xdr:colOff>
                <xdr:row>16</xdr:row>
                <xdr:rowOff>9525</xdr:rowOff>
              </from>
              <to>
                <xdr:col>2</xdr:col>
                <xdr:colOff>3048000</xdr:colOff>
                <xdr:row>17</xdr:row>
                <xdr:rowOff>209550</xdr:rowOff>
              </to>
            </anchor>
          </controlPr>
        </control>
      </mc:Choice>
      <mc:Fallback>
        <control shapeId="1025" r:id="rId4" name="btnInterf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2">
    <pageSetUpPr fitToPage="1"/>
  </sheetPr>
  <dimension ref="A1:M129"/>
  <sheetViews>
    <sheetView zoomScaleNormal="100" workbookViewId="0">
      <selection activeCell="N17" sqref="N17"/>
    </sheetView>
  </sheetViews>
  <sheetFormatPr defaultRowHeight="15"/>
  <cols>
    <col min="1" max="1" width="2.140625" customWidth="1"/>
    <col min="2" max="2" width="51.140625" customWidth="1"/>
    <col min="3" max="3" width="12.28515625" customWidth="1"/>
    <col min="4" max="4" width="12.85546875" customWidth="1"/>
    <col min="5" max="5" width="11.85546875" style="185" hidden="1" customWidth="1"/>
    <col min="6" max="7" width="11.28515625" style="185" hidden="1" customWidth="1"/>
    <col min="8" max="8" width="10" style="185" hidden="1" customWidth="1"/>
    <col min="9" max="9" width="10.7109375" style="185" hidden="1" customWidth="1"/>
    <col min="10" max="11" width="12" style="185" hidden="1" customWidth="1"/>
    <col min="12" max="12" width="12.5703125" style="185" customWidth="1"/>
  </cols>
  <sheetData>
    <row r="1" spans="1:13">
      <c r="A1" s="16"/>
      <c r="B1" s="17"/>
      <c r="C1" s="18"/>
      <c r="D1" s="18"/>
      <c r="E1" s="198"/>
      <c r="F1" s="198"/>
      <c r="G1" s="198"/>
      <c r="H1" s="198"/>
      <c r="L1" s="198"/>
    </row>
    <row r="2" spans="1:13" ht="23.25">
      <c r="A2" s="19"/>
      <c r="B2" s="20" t="s">
        <v>175</v>
      </c>
      <c r="C2" s="21"/>
      <c r="D2" s="22"/>
      <c r="E2" s="186"/>
      <c r="F2" s="186"/>
      <c r="G2" s="186"/>
      <c r="H2" s="186"/>
      <c r="I2" s="186"/>
      <c r="J2" s="186"/>
      <c r="K2" s="186"/>
      <c r="L2" s="186"/>
    </row>
    <row r="3" spans="1:13" ht="15.75">
      <c r="A3" s="23"/>
      <c r="B3" s="24" t="s">
        <v>2</v>
      </c>
      <c r="C3" s="21"/>
      <c r="D3" s="21"/>
      <c r="E3" s="186"/>
      <c r="F3" s="186"/>
      <c r="G3" s="186"/>
      <c r="H3" s="186"/>
      <c r="I3" s="186"/>
      <c r="J3" s="186"/>
      <c r="K3" s="186"/>
      <c r="L3" s="186"/>
    </row>
    <row r="4" spans="1:13" ht="15.75">
      <c r="A4" s="23"/>
      <c r="B4" s="24" t="s">
        <v>3</v>
      </c>
      <c r="C4" s="21"/>
      <c r="D4" s="21"/>
      <c r="E4" s="186"/>
      <c r="F4" s="186"/>
      <c r="G4" s="186"/>
      <c r="H4" s="186"/>
      <c r="I4" s="186"/>
      <c r="J4" s="186"/>
      <c r="K4" s="186"/>
      <c r="L4" s="186"/>
    </row>
    <row r="5" spans="1:13" ht="15.75">
      <c r="A5" s="23"/>
      <c r="B5" s="24"/>
      <c r="C5" s="25"/>
      <c r="D5" s="25"/>
      <c r="E5" s="25"/>
      <c r="F5" s="25"/>
      <c r="G5" s="25"/>
      <c r="H5" s="186"/>
      <c r="I5" s="186"/>
      <c r="J5" s="186"/>
      <c r="K5" s="186"/>
      <c r="L5" s="186"/>
    </row>
    <row r="6" spans="1:13" ht="31.5">
      <c r="A6" s="26"/>
      <c r="B6" s="27" t="s">
        <v>4</v>
      </c>
      <c r="C6" s="27" t="s">
        <v>5</v>
      </c>
      <c r="D6" s="27" t="s">
        <v>6</v>
      </c>
      <c r="E6" s="27" t="s">
        <v>7</v>
      </c>
      <c r="F6" s="27" t="s">
        <v>336</v>
      </c>
      <c r="G6" s="27" t="s">
        <v>335</v>
      </c>
      <c r="H6" s="27" t="s">
        <v>162</v>
      </c>
      <c r="I6" s="27" t="s">
        <v>176</v>
      </c>
      <c r="J6" s="27" t="s">
        <v>299</v>
      </c>
      <c r="K6" s="27" t="s">
        <v>344</v>
      </c>
      <c r="L6" s="27" t="s">
        <v>353</v>
      </c>
    </row>
    <row r="7" spans="1:13" ht="21.75" customHeight="1">
      <c r="A7" s="16"/>
      <c r="B7" s="28" t="s">
        <v>8</v>
      </c>
      <c r="C7" s="29"/>
      <c r="D7" s="29"/>
      <c r="E7" s="187" t="s">
        <v>9</v>
      </c>
      <c r="F7" s="187" t="s">
        <v>334</v>
      </c>
      <c r="G7" s="187" t="s">
        <v>10</v>
      </c>
      <c r="H7" s="187"/>
      <c r="I7" s="187"/>
      <c r="J7" s="187"/>
      <c r="K7" s="187"/>
      <c r="L7" s="187"/>
    </row>
    <row r="8" spans="1:13" ht="15.75">
      <c r="A8" s="31"/>
      <c r="B8" s="32" t="s">
        <v>11</v>
      </c>
      <c r="C8" s="30"/>
      <c r="D8" s="30"/>
      <c r="E8" s="187"/>
      <c r="F8" s="187"/>
      <c r="G8" s="187"/>
      <c r="H8" s="187"/>
      <c r="I8" s="187"/>
      <c r="J8" s="187"/>
      <c r="K8" s="187"/>
      <c r="L8" s="187"/>
    </row>
    <row r="9" spans="1:13">
      <c r="A9" s="16"/>
      <c r="B9" s="33" t="s">
        <v>12</v>
      </c>
      <c r="C9" s="29" t="s">
        <v>13</v>
      </c>
      <c r="D9" s="29" t="s">
        <v>14</v>
      </c>
      <c r="E9" s="191">
        <v>1</v>
      </c>
      <c r="F9" s="191">
        <v>0.8</v>
      </c>
      <c r="G9" s="191">
        <v>0.8</v>
      </c>
      <c r="H9" s="191">
        <v>1</v>
      </c>
      <c r="I9" s="188">
        <v>0.8</v>
      </c>
      <c r="J9" s="188">
        <v>0.8</v>
      </c>
      <c r="K9" s="188">
        <v>0.8</v>
      </c>
      <c r="L9" s="190">
        <v>0</v>
      </c>
    </row>
    <row r="10" spans="1:13">
      <c r="A10" s="16"/>
      <c r="B10" s="33" t="s">
        <v>15</v>
      </c>
      <c r="C10" s="29" t="s">
        <v>16</v>
      </c>
      <c r="D10" s="29" t="s">
        <v>14</v>
      </c>
      <c r="E10" s="191">
        <v>0.15</v>
      </c>
      <c r="F10" s="191">
        <v>0.4</v>
      </c>
      <c r="G10" s="191">
        <v>0.4</v>
      </c>
      <c r="H10" s="191">
        <v>0.15</v>
      </c>
      <c r="I10" s="188">
        <v>0.3</v>
      </c>
      <c r="J10" s="188">
        <v>0.3</v>
      </c>
      <c r="K10" s="188">
        <v>0.3</v>
      </c>
      <c r="L10" s="190">
        <v>0</v>
      </c>
    </row>
    <row r="11" spans="1:13">
      <c r="A11" s="16"/>
      <c r="B11" s="33" t="s">
        <v>319</v>
      </c>
      <c r="C11" s="34" t="s">
        <v>360</v>
      </c>
      <c r="D11" s="29" t="s">
        <v>14</v>
      </c>
      <c r="E11" s="191">
        <v>0</v>
      </c>
      <c r="F11" s="189">
        <v>0.55000000000000004</v>
      </c>
      <c r="G11" s="191">
        <v>0</v>
      </c>
      <c r="H11" s="191">
        <v>0</v>
      </c>
      <c r="I11" s="262">
        <v>0.61629999999999996</v>
      </c>
      <c r="J11" s="189">
        <v>0.40579999999999999</v>
      </c>
      <c r="K11" s="189">
        <v>0.40579999999999999</v>
      </c>
      <c r="L11" s="189">
        <v>1.0205660510097001</v>
      </c>
      <c r="M11" s="53"/>
    </row>
    <row r="12" spans="1:13">
      <c r="A12" s="16"/>
      <c r="B12" s="33" t="s">
        <v>318</v>
      </c>
      <c r="C12" s="34" t="s">
        <v>361</v>
      </c>
      <c r="D12" s="29" t="s">
        <v>14</v>
      </c>
      <c r="E12" s="191">
        <v>0</v>
      </c>
      <c r="F12" s="189">
        <v>0.27110000000000001</v>
      </c>
      <c r="G12" s="191">
        <v>0</v>
      </c>
      <c r="H12" s="191">
        <v>0</v>
      </c>
      <c r="I12" s="262">
        <v>4.8399999999999999E-2</v>
      </c>
      <c r="J12" s="189">
        <v>0.31109999999999999</v>
      </c>
      <c r="K12" s="189">
        <v>0.31109999999999999</v>
      </c>
      <c r="L12" s="189">
        <v>1.9875080445609501</v>
      </c>
    </row>
    <row r="13" spans="1:13">
      <c r="A13" s="16"/>
      <c r="B13" s="33" t="s">
        <v>326</v>
      </c>
      <c r="C13" s="34" t="s">
        <v>362</v>
      </c>
      <c r="D13" s="29" t="s">
        <v>14</v>
      </c>
      <c r="E13" s="191">
        <v>0</v>
      </c>
      <c r="F13" s="189">
        <v>-0.4</v>
      </c>
      <c r="G13" s="191">
        <v>0</v>
      </c>
      <c r="H13" s="191">
        <v>0</v>
      </c>
      <c r="I13" s="262">
        <v>-0.15540000000000001</v>
      </c>
      <c r="J13" s="189">
        <v>-0.28799999999999998</v>
      </c>
      <c r="K13" s="189">
        <v>-0.28799999999999998</v>
      </c>
      <c r="L13" s="189">
        <v>5.6364012006736504</v>
      </c>
    </row>
    <row r="14" spans="1:13">
      <c r="A14" s="16"/>
      <c r="B14" s="33" t="s">
        <v>310</v>
      </c>
      <c r="C14" s="29" t="s">
        <v>311</v>
      </c>
      <c r="D14" s="29" t="s">
        <v>14</v>
      </c>
      <c r="E14" s="191">
        <v>0</v>
      </c>
      <c r="F14" s="190">
        <v>-0.64290000000000003</v>
      </c>
      <c r="G14" s="191">
        <v>0</v>
      </c>
      <c r="H14" s="191">
        <v>0</v>
      </c>
      <c r="I14" s="262">
        <v>-6.9747000000000003</v>
      </c>
      <c r="J14" s="189">
        <v>-3.7067999999999999</v>
      </c>
      <c r="K14" s="282">
        <v>-0.25159999999999999</v>
      </c>
      <c r="L14" s="190">
        <v>3.4099999999999998E-2</v>
      </c>
    </row>
    <row r="15" spans="1:13">
      <c r="A15" s="16"/>
      <c r="B15" s="33" t="s">
        <v>282</v>
      </c>
      <c r="C15" s="29" t="s">
        <v>285</v>
      </c>
      <c r="D15" s="29" t="s">
        <v>14</v>
      </c>
      <c r="E15" s="191">
        <v>9.5000000000000001E-2</v>
      </c>
      <c r="F15" s="190">
        <v>70.675600000000003</v>
      </c>
      <c r="G15" s="191">
        <v>2.4299999999999999E-2</v>
      </c>
      <c r="H15" s="191">
        <v>9.5000000000000001E-2</v>
      </c>
      <c r="I15" s="263">
        <v>44.7682</v>
      </c>
      <c r="J15" s="190">
        <v>54.449199999999998</v>
      </c>
      <c r="K15" s="283">
        <v>43.458599999999997</v>
      </c>
      <c r="L15" s="190">
        <v>167.7</v>
      </c>
    </row>
    <row r="16" spans="1:13">
      <c r="A16" s="16"/>
      <c r="B16" s="33" t="s">
        <v>283</v>
      </c>
      <c r="C16" s="29" t="s">
        <v>286</v>
      </c>
      <c r="D16" s="29" t="s">
        <v>14</v>
      </c>
      <c r="E16" s="191">
        <v>2.4</v>
      </c>
      <c r="F16" s="190">
        <v>0.37480000000000002</v>
      </c>
      <c r="G16" s="191">
        <v>2.72</v>
      </c>
      <c r="H16" s="191">
        <v>2.4</v>
      </c>
      <c r="I16" s="263">
        <v>0.2427</v>
      </c>
      <c r="J16" s="190">
        <v>0.25290000000000001</v>
      </c>
      <c r="K16" s="283">
        <v>0.34960000000000002</v>
      </c>
      <c r="L16" s="190">
        <v>0.26690000000000003</v>
      </c>
    </row>
    <row r="17" spans="1:12">
      <c r="A17" s="16"/>
      <c r="B17" s="33" t="s">
        <v>284</v>
      </c>
      <c r="C17" s="29" t="s">
        <v>287</v>
      </c>
      <c r="D17" s="29" t="s">
        <v>14</v>
      </c>
      <c r="E17" s="191">
        <v>0</v>
      </c>
      <c r="F17" s="190">
        <v>-0.17960000000000001</v>
      </c>
      <c r="G17" s="191">
        <v>0</v>
      </c>
      <c r="H17" s="191">
        <v>0</v>
      </c>
      <c r="I17" s="263">
        <v>-5.4899999999999997E-2</v>
      </c>
      <c r="J17" s="233">
        <v>3.7100000000000001E-2</v>
      </c>
      <c r="K17" s="283">
        <v>-7.0499999999999998E-3</v>
      </c>
      <c r="L17" s="190">
        <v>-2.7E-2</v>
      </c>
    </row>
    <row r="18" spans="1:12">
      <c r="A18" s="16"/>
      <c r="B18" s="33" t="s">
        <v>305</v>
      </c>
      <c r="C18" s="29" t="s">
        <v>302</v>
      </c>
      <c r="D18" s="29"/>
      <c r="E18" s="191">
        <v>0</v>
      </c>
      <c r="F18" s="190">
        <v>-0.37659999999999999</v>
      </c>
      <c r="G18" s="191">
        <v>0</v>
      </c>
      <c r="H18" s="191">
        <v>0</v>
      </c>
      <c r="I18" s="263">
        <v>-0.2271</v>
      </c>
      <c r="J18" s="233">
        <v>-0.30590000000000001</v>
      </c>
      <c r="K18" s="283">
        <v>-0.33929999999999999</v>
      </c>
      <c r="L18" s="190">
        <v>-0.48630000000000001</v>
      </c>
    </row>
    <row r="19" spans="1:12">
      <c r="A19" s="16"/>
      <c r="B19" s="33" t="s">
        <v>17</v>
      </c>
      <c r="C19" s="34" t="s">
        <v>18</v>
      </c>
      <c r="D19" s="29" t="s">
        <v>14</v>
      </c>
      <c r="E19" s="193">
        <v>0.8</v>
      </c>
      <c r="F19" s="193">
        <v>0.4</v>
      </c>
      <c r="G19" s="193">
        <v>0.6</v>
      </c>
      <c r="H19" s="193">
        <v>0.8</v>
      </c>
      <c r="I19" s="191">
        <v>0.4</v>
      </c>
      <c r="J19" s="191">
        <v>0.4</v>
      </c>
      <c r="K19" s="191">
        <v>0.4</v>
      </c>
      <c r="L19" s="288">
        <v>0.6</v>
      </c>
    </row>
    <row r="20" spans="1:12">
      <c r="A20" s="16"/>
      <c r="B20" s="33" t="s">
        <v>19</v>
      </c>
      <c r="C20" s="34" t="s">
        <v>20</v>
      </c>
      <c r="D20" s="29" t="s">
        <v>14</v>
      </c>
      <c r="E20" s="193">
        <v>0.25</v>
      </c>
      <c r="F20" s="195">
        <v>0.2</v>
      </c>
      <c r="G20" s="193">
        <v>0.25</v>
      </c>
      <c r="H20" s="193">
        <v>0.25</v>
      </c>
      <c r="I20" s="192">
        <v>0.14399999999999999</v>
      </c>
      <c r="J20" s="192">
        <v>0.2</v>
      </c>
      <c r="K20" s="192">
        <v>0.2</v>
      </c>
      <c r="L20" s="288">
        <v>0.25</v>
      </c>
    </row>
    <row r="21" spans="1:12" ht="15.75">
      <c r="A21" s="31"/>
      <c r="B21" s="32" t="s">
        <v>21</v>
      </c>
      <c r="C21" s="30"/>
      <c r="D21" s="30"/>
      <c r="E21" s="187"/>
      <c r="F21" s="187"/>
      <c r="G21" s="187"/>
      <c r="H21" s="187"/>
      <c r="I21" s="187"/>
      <c r="J21" s="187"/>
      <c r="K21" s="187"/>
      <c r="L21" s="187"/>
    </row>
    <row r="22" spans="1:12">
      <c r="A22" s="16"/>
      <c r="B22" s="33" t="s">
        <v>22</v>
      </c>
      <c r="C22" s="34" t="s">
        <v>321</v>
      </c>
      <c r="D22" s="29" t="s">
        <v>23</v>
      </c>
      <c r="E22" s="193">
        <v>2.7E-2</v>
      </c>
      <c r="F22" s="193">
        <v>0.03</v>
      </c>
      <c r="G22" s="193">
        <v>0.03</v>
      </c>
      <c r="H22" s="193">
        <v>0.03</v>
      </c>
      <c r="I22" s="192">
        <v>4.2000000000000003E-2</v>
      </c>
      <c r="J22" s="192">
        <v>4.2000000000000003E-2</v>
      </c>
      <c r="K22" s="192">
        <v>4.2000000000000003E-2</v>
      </c>
      <c r="L22" s="287">
        <v>0</v>
      </c>
    </row>
    <row r="23" spans="1:12">
      <c r="A23" s="16"/>
      <c r="B23" s="33" t="s">
        <v>24</v>
      </c>
      <c r="C23" s="34" t="s">
        <v>25</v>
      </c>
      <c r="D23" s="29" t="s">
        <v>23</v>
      </c>
      <c r="E23" s="193">
        <v>1E-3</v>
      </c>
      <c r="F23" s="193">
        <v>1E-3</v>
      </c>
      <c r="G23" s="193">
        <v>1E-3</v>
      </c>
      <c r="H23" s="193">
        <v>1E-3</v>
      </c>
      <c r="I23" s="192">
        <v>1E-3</v>
      </c>
      <c r="J23" s="192">
        <v>1E-3</v>
      </c>
      <c r="K23" s="192">
        <v>1E-3</v>
      </c>
      <c r="L23" s="286">
        <v>0</v>
      </c>
    </row>
    <row r="24" spans="1:12">
      <c r="A24" s="16"/>
      <c r="B24" s="33" t="s">
        <v>26</v>
      </c>
      <c r="C24" s="34" t="s">
        <v>27</v>
      </c>
      <c r="D24" s="29" t="s">
        <v>28</v>
      </c>
      <c r="E24" s="193">
        <v>12</v>
      </c>
      <c r="F24" s="193">
        <v>36</v>
      </c>
      <c r="G24" s="193">
        <v>36</v>
      </c>
      <c r="H24" s="193">
        <v>12</v>
      </c>
      <c r="I24" s="192">
        <v>18</v>
      </c>
      <c r="J24" s="192">
        <v>18</v>
      </c>
      <c r="K24" s="192">
        <v>18</v>
      </c>
      <c r="L24" s="286">
        <v>0</v>
      </c>
    </row>
    <row r="25" spans="1:12">
      <c r="A25" s="16"/>
      <c r="B25" s="33" t="s">
        <v>29</v>
      </c>
      <c r="C25" s="34" t="s">
        <v>30</v>
      </c>
      <c r="D25" s="29" t="s">
        <v>23</v>
      </c>
      <c r="E25" s="193">
        <v>1.4999999999999999E-2</v>
      </c>
      <c r="F25" s="193">
        <v>1.4999999999999999E-2</v>
      </c>
      <c r="G25" s="193">
        <v>1.4999999999999999E-2</v>
      </c>
      <c r="H25" s="193">
        <v>1.4999999999999999E-2</v>
      </c>
      <c r="I25" s="192">
        <v>1.8280000000000001E-2</v>
      </c>
      <c r="J25" s="192">
        <v>1.6799999999999999E-2</v>
      </c>
      <c r="K25" s="192">
        <v>1.6799999999999999E-2</v>
      </c>
      <c r="L25" s="286">
        <v>1.4999999999999999E-2</v>
      </c>
    </row>
    <row r="26" spans="1:12">
      <c r="A26" s="16"/>
      <c r="B26" s="33" t="s">
        <v>292</v>
      </c>
      <c r="C26" s="34" t="s">
        <v>290</v>
      </c>
      <c r="D26" s="29" t="s">
        <v>23</v>
      </c>
      <c r="E26" s="193">
        <v>0</v>
      </c>
      <c r="F26" s="190">
        <v>0.157</v>
      </c>
      <c r="G26" s="193">
        <v>0</v>
      </c>
      <c r="H26" s="193">
        <v>0</v>
      </c>
      <c r="I26" s="192">
        <v>0.13</v>
      </c>
      <c r="J26" s="190">
        <v>0.157</v>
      </c>
      <c r="K26" s="190">
        <v>0.157</v>
      </c>
      <c r="L26" s="195">
        <v>0.5</v>
      </c>
    </row>
    <row r="27" spans="1:12">
      <c r="A27" s="16"/>
      <c r="B27" s="33" t="s">
        <v>291</v>
      </c>
      <c r="C27" s="34" t="s">
        <v>294</v>
      </c>
      <c r="D27" s="29" t="s">
        <v>293</v>
      </c>
      <c r="E27" s="193">
        <v>0</v>
      </c>
      <c r="F27" s="190">
        <v>4</v>
      </c>
      <c r="G27" s="193">
        <v>0</v>
      </c>
      <c r="H27" s="193">
        <v>0</v>
      </c>
      <c r="I27" s="192">
        <v>11</v>
      </c>
      <c r="J27" s="190">
        <v>11</v>
      </c>
      <c r="K27" s="190">
        <v>11</v>
      </c>
      <c r="L27" s="195">
        <v>11</v>
      </c>
    </row>
    <row r="28" spans="1:12">
      <c r="A28" s="16"/>
      <c r="B28" s="33" t="s">
        <v>296</v>
      </c>
      <c r="C28" s="34" t="s">
        <v>295</v>
      </c>
      <c r="D28" s="29" t="s">
        <v>297</v>
      </c>
      <c r="E28" s="193">
        <v>0</v>
      </c>
      <c r="F28" s="190">
        <v>0.15</v>
      </c>
      <c r="G28" s="193">
        <v>0</v>
      </c>
      <c r="H28" s="193">
        <v>0</v>
      </c>
      <c r="I28" s="192">
        <v>0.14000000000000001</v>
      </c>
      <c r="J28" s="190">
        <v>0.15</v>
      </c>
      <c r="K28" s="190">
        <v>0.15</v>
      </c>
      <c r="L28" s="195">
        <v>0.82</v>
      </c>
    </row>
    <row r="29" spans="1:12" ht="21.75" customHeight="1">
      <c r="A29" s="16"/>
      <c r="B29" s="28" t="s">
        <v>31</v>
      </c>
      <c r="C29" s="29"/>
      <c r="D29" s="29"/>
      <c r="E29" s="187"/>
      <c r="F29" s="187"/>
      <c r="G29" s="187"/>
      <c r="H29" s="191"/>
      <c r="I29" s="187"/>
      <c r="J29" s="187"/>
      <c r="K29" s="187"/>
      <c r="L29" s="191"/>
    </row>
    <row r="30" spans="1:12" ht="15.75">
      <c r="A30" s="31"/>
      <c r="B30" s="32" t="s">
        <v>32</v>
      </c>
      <c r="C30" s="30"/>
      <c r="D30" s="30"/>
      <c r="E30" s="187"/>
      <c r="F30" s="187"/>
      <c r="G30" s="187"/>
      <c r="H30" s="187"/>
      <c r="I30" s="187"/>
      <c r="J30" s="187"/>
      <c r="K30" s="187"/>
      <c r="L30" s="187"/>
    </row>
    <row r="31" spans="1:12">
      <c r="A31" s="16"/>
      <c r="B31" s="33" t="s">
        <v>33</v>
      </c>
      <c r="C31" s="29" t="s">
        <v>34</v>
      </c>
      <c r="D31" s="29" t="s">
        <v>35</v>
      </c>
      <c r="E31" s="193">
        <v>8.5</v>
      </c>
      <c r="F31" s="193">
        <v>0</v>
      </c>
      <c r="G31" s="193">
        <v>0</v>
      </c>
      <c r="H31" s="193">
        <v>-999</v>
      </c>
      <c r="I31" s="192">
        <v>5</v>
      </c>
      <c r="J31" s="190">
        <v>4</v>
      </c>
      <c r="K31" s="190">
        <v>4</v>
      </c>
      <c r="L31" s="195">
        <v>1.5</v>
      </c>
    </row>
    <row r="32" spans="1:12">
      <c r="A32" s="16"/>
      <c r="B32" s="33" t="s">
        <v>36</v>
      </c>
      <c r="C32" s="34" t="s">
        <v>37</v>
      </c>
      <c r="D32" s="29" t="s">
        <v>35</v>
      </c>
      <c r="E32" s="193">
        <v>16</v>
      </c>
      <c r="F32" s="193">
        <v>20</v>
      </c>
      <c r="G32" s="193">
        <v>20</v>
      </c>
      <c r="H32" s="193">
        <v>25</v>
      </c>
      <c r="I32" s="192">
        <v>25</v>
      </c>
      <c r="J32" s="190">
        <v>25</v>
      </c>
      <c r="K32" s="190">
        <v>25</v>
      </c>
      <c r="L32" s="195">
        <v>23</v>
      </c>
    </row>
    <row r="33" spans="1:12">
      <c r="A33" s="16"/>
      <c r="B33" s="33" t="s">
        <v>38</v>
      </c>
      <c r="C33" s="34" t="s">
        <v>39</v>
      </c>
      <c r="D33" s="29" t="s">
        <v>35</v>
      </c>
      <c r="E33" s="193">
        <v>40</v>
      </c>
      <c r="F33" s="193">
        <v>32</v>
      </c>
      <c r="G33" s="193">
        <v>32</v>
      </c>
      <c r="H33" s="193">
        <v>999</v>
      </c>
      <c r="I33" s="192">
        <v>40</v>
      </c>
      <c r="J33" s="190">
        <v>38</v>
      </c>
      <c r="K33" s="190">
        <v>38</v>
      </c>
      <c r="L33" s="195">
        <v>40</v>
      </c>
    </row>
    <row r="34" spans="1:12" ht="15.75">
      <c r="A34" s="31"/>
      <c r="B34" s="32" t="s">
        <v>40</v>
      </c>
      <c r="C34" s="30"/>
      <c r="D34" s="30"/>
      <c r="E34" s="187"/>
      <c r="F34" s="187"/>
      <c r="G34" s="187"/>
      <c r="H34" s="187"/>
      <c r="I34" s="187"/>
      <c r="J34" s="187"/>
      <c r="K34" s="187"/>
      <c r="L34" s="187"/>
    </row>
    <row r="35" spans="1:12">
      <c r="A35" s="16"/>
      <c r="B35" s="33" t="s">
        <v>41</v>
      </c>
      <c r="C35" s="29" t="s">
        <v>42</v>
      </c>
      <c r="D35" s="29" t="s">
        <v>43</v>
      </c>
      <c r="E35" s="191">
        <v>0</v>
      </c>
      <c r="F35" s="191">
        <v>1</v>
      </c>
      <c r="G35" s="191">
        <v>1</v>
      </c>
      <c r="H35" s="191">
        <v>1</v>
      </c>
      <c r="I35" s="191">
        <v>1</v>
      </c>
      <c r="J35" s="190">
        <v>1</v>
      </c>
      <c r="K35" s="190">
        <v>1</v>
      </c>
      <c r="L35" s="190">
        <v>1</v>
      </c>
    </row>
    <row r="36" spans="1:12">
      <c r="A36" s="16"/>
      <c r="B36" s="33" t="s">
        <v>309</v>
      </c>
      <c r="C36" s="29" t="s">
        <v>308</v>
      </c>
      <c r="D36" s="29" t="s">
        <v>43</v>
      </c>
      <c r="E36" s="191">
        <v>0</v>
      </c>
      <c r="F36" s="190">
        <v>0.17799999999999999</v>
      </c>
      <c r="G36" s="191">
        <v>0</v>
      </c>
      <c r="H36" s="191">
        <v>0</v>
      </c>
      <c r="I36" s="190">
        <v>0.17799999999999999</v>
      </c>
      <c r="J36" s="190">
        <v>0.17799999999999999</v>
      </c>
      <c r="K36" s="190">
        <v>0.17799999999999999</v>
      </c>
      <c r="L36" s="190">
        <v>0</v>
      </c>
    </row>
    <row r="37" spans="1:12" ht="15.75">
      <c r="A37" s="31"/>
      <c r="B37" s="32" t="s">
        <v>44</v>
      </c>
      <c r="C37" s="30"/>
      <c r="D37" s="30"/>
      <c r="E37" s="187"/>
      <c r="F37" s="187"/>
      <c r="G37" s="187"/>
      <c r="H37" s="187"/>
      <c r="I37" s="187"/>
      <c r="J37" s="187"/>
      <c r="K37" s="187"/>
      <c r="L37" s="187"/>
    </row>
    <row r="38" spans="1:12" ht="15.75">
      <c r="A38" s="16"/>
      <c r="B38" s="33" t="s">
        <v>155</v>
      </c>
      <c r="C38" s="34" t="s">
        <v>45</v>
      </c>
      <c r="D38" s="29" t="s">
        <v>14</v>
      </c>
      <c r="E38" s="193">
        <v>0.7</v>
      </c>
      <c r="F38" s="193">
        <v>0.7</v>
      </c>
      <c r="G38" s="193">
        <v>0.7</v>
      </c>
      <c r="H38" s="193">
        <v>0.7</v>
      </c>
      <c r="I38" s="191">
        <v>0.7</v>
      </c>
      <c r="J38" s="191">
        <v>0.7</v>
      </c>
      <c r="K38" s="191">
        <v>0.7</v>
      </c>
      <c r="L38" s="193">
        <v>0.7</v>
      </c>
    </row>
    <row r="39" spans="1:12">
      <c r="A39" s="16"/>
      <c r="B39" s="33" t="s">
        <v>46</v>
      </c>
      <c r="C39" s="34" t="s">
        <v>47</v>
      </c>
      <c r="D39" s="29" t="s">
        <v>14</v>
      </c>
      <c r="E39" s="193">
        <v>9</v>
      </c>
      <c r="F39" s="193">
        <v>9</v>
      </c>
      <c r="G39" s="193">
        <v>9</v>
      </c>
      <c r="H39" s="193">
        <v>9</v>
      </c>
      <c r="I39" s="193">
        <v>9</v>
      </c>
      <c r="J39" s="193">
        <v>9</v>
      </c>
      <c r="K39" s="193">
        <v>9</v>
      </c>
      <c r="L39" s="193">
        <v>9</v>
      </c>
    </row>
    <row r="40" spans="1:12" ht="15.75">
      <c r="A40" s="31"/>
      <c r="B40" s="32" t="s">
        <v>165</v>
      </c>
      <c r="C40" s="30"/>
      <c r="D40" s="30"/>
      <c r="E40" s="187"/>
      <c r="F40" s="187"/>
      <c r="G40" s="187"/>
      <c r="H40" s="187"/>
      <c r="I40" s="187"/>
      <c r="J40" s="187"/>
      <c r="K40" s="187"/>
      <c r="L40" s="187"/>
    </row>
    <row r="41" spans="1:12">
      <c r="A41" s="16"/>
      <c r="B41" s="33" t="s">
        <v>168</v>
      </c>
      <c r="C41" s="34" t="s">
        <v>166</v>
      </c>
      <c r="D41" s="29" t="s">
        <v>14</v>
      </c>
      <c r="E41" s="193">
        <v>1.4</v>
      </c>
      <c r="F41" s="195">
        <v>1.17</v>
      </c>
      <c r="G41" s="193">
        <v>1.4</v>
      </c>
      <c r="H41" s="193">
        <v>1.4</v>
      </c>
      <c r="I41" s="194">
        <v>1.17</v>
      </c>
      <c r="J41" s="194">
        <v>1.17</v>
      </c>
      <c r="K41" s="194">
        <v>1.17</v>
      </c>
      <c r="L41" s="195">
        <v>1.4</v>
      </c>
    </row>
    <row r="42" spans="1:12">
      <c r="A42" s="16"/>
      <c r="B42" s="33" t="s">
        <v>169</v>
      </c>
      <c r="C42" s="34" t="s">
        <v>167</v>
      </c>
      <c r="D42" s="29" t="s">
        <v>14</v>
      </c>
      <c r="E42" s="193">
        <v>0.7</v>
      </c>
      <c r="F42" s="195">
        <v>1</v>
      </c>
      <c r="G42" s="193">
        <v>0.7</v>
      </c>
      <c r="H42" s="193">
        <v>0.7</v>
      </c>
      <c r="I42" s="194">
        <v>1</v>
      </c>
      <c r="J42" s="194">
        <v>1</v>
      </c>
      <c r="K42" s="194">
        <v>1</v>
      </c>
      <c r="L42" s="195">
        <v>0.7</v>
      </c>
    </row>
    <row r="43" spans="1:12" ht="15.75">
      <c r="A43" s="31"/>
      <c r="B43" s="32" t="s">
        <v>48</v>
      </c>
      <c r="C43" s="30"/>
      <c r="D43" s="30"/>
      <c r="E43" s="187"/>
      <c r="F43" s="187"/>
      <c r="G43" s="187"/>
      <c r="H43" s="187"/>
      <c r="I43" s="187"/>
      <c r="J43" s="187"/>
      <c r="K43" s="187"/>
      <c r="L43" s="187"/>
    </row>
    <row r="44" spans="1:12">
      <c r="A44" s="16"/>
      <c r="B44" s="33" t="s">
        <v>49</v>
      </c>
      <c r="C44" s="34" t="s">
        <v>50</v>
      </c>
      <c r="D44" s="29" t="s">
        <v>14</v>
      </c>
      <c r="E44" s="193">
        <v>0</v>
      </c>
      <c r="F44" s="195">
        <v>0</v>
      </c>
      <c r="G44" s="193">
        <v>0</v>
      </c>
      <c r="H44" s="193">
        <v>0</v>
      </c>
      <c r="I44" s="194">
        <v>0</v>
      </c>
      <c r="J44" s="194">
        <v>0</v>
      </c>
      <c r="K44" s="194">
        <v>0</v>
      </c>
      <c r="L44" s="195">
        <v>0</v>
      </c>
    </row>
    <row r="45" spans="1:12">
      <c r="A45" s="16"/>
      <c r="B45" s="33" t="s">
        <v>51</v>
      </c>
      <c r="C45" s="34" t="s">
        <v>52</v>
      </c>
      <c r="D45" s="29" t="s">
        <v>14</v>
      </c>
      <c r="E45" s="193">
        <v>1</v>
      </c>
      <c r="F45" s="195">
        <v>0.3</v>
      </c>
      <c r="G45" s="193">
        <v>0.6</v>
      </c>
      <c r="H45" s="193">
        <v>1</v>
      </c>
      <c r="I45" s="194">
        <v>0.3</v>
      </c>
      <c r="J45" s="194">
        <v>0.3</v>
      </c>
      <c r="K45" s="194">
        <v>0.3</v>
      </c>
      <c r="L45" s="195">
        <v>0.6</v>
      </c>
    </row>
    <row r="46" spans="1:12">
      <c r="A46" s="16"/>
      <c r="B46" s="33" t="s">
        <v>53</v>
      </c>
      <c r="C46" s="34" t="s">
        <v>54</v>
      </c>
      <c r="D46" s="29" t="s">
        <v>14</v>
      </c>
      <c r="E46" s="193">
        <v>0</v>
      </c>
      <c r="F46" s="195">
        <v>1</v>
      </c>
      <c r="G46" s="193">
        <v>1</v>
      </c>
      <c r="H46" s="193">
        <v>0</v>
      </c>
      <c r="I46" s="194">
        <v>1</v>
      </c>
      <c r="J46" s="194">
        <v>1</v>
      </c>
      <c r="K46" s="194">
        <v>1</v>
      </c>
      <c r="L46" s="195">
        <v>1</v>
      </c>
    </row>
    <row r="47" spans="1:12" ht="15.75">
      <c r="A47" s="31"/>
      <c r="B47" s="32" t="s">
        <v>55</v>
      </c>
      <c r="C47" s="30"/>
      <c r="D47" s="30"/>
      <c r="E47" s="187"/>
      <c r="F47" s="187"/>
      <c r="G47" s="187"/>
      <c r="H47" s="187"/>
      <c r="I47" s="187"/>
      <c r="J47" s="187"/>
      <c r="K47" s="187"/>
      <c r="L47" s="187"/>
    </row>
    <row r="48" spans="1:12">
      <c r="A48" s="16"/>
      <c r="B48" s="33" t="s">
        <v>56</v>
      </c>
      <c r="C48" s="29" t="s">
        <v>57</v>
      </c>
      <c r="D48" s="29" t="s">
        <v>58</v>
      </c>
      <c r="E48" s="191">
        <v>50</v>
      </c>
      <c r="F48" s="195">
        <v>120</v>
      </c>
      <c r="G48" s="191">
        <v>50</v>
      </c>
      <c r="H48" s="191">
        <v>50</v>
      </c>
      <c r="I48" s="194">
        <v>200</v>
      </c>
      <c r="J48" s="194">
        <v>200</v>
      </c>
      <c r="K48" s="194">
        <v>200</v>
      </c>
      <c r="L48" s="190">
        <v>80</v>
      </c>
    </row>
    <row r="49" spans="1:12">
      <c r="A49" s="16"/>
      <c r="B49" s="33" t="s">
        <v>59</v>
      </c>
      <c r="C49" s="29" t="s">
        <v>60</v>
      </c>
      <c r="D49" s="29" t="s">
        <v>14</v>
      </c>
      <c r="E49" s="191">
        <v>4</v>
      </c>
      <c r="F49" s="195">
        <v>1.5</v>
      </c>
      <c r="G49" s="191">
        <v>4</v>
      </c>
      <c r="H49" s="191">
        <v>4</v>
      </c>
      <c r="I49" s="194">
        <v>1.5</v>
      </c>
      <c r="J49" s="194">
        <v>1.5</v>
      </c>
      <c r="K49" s="194">
        <v>1.5</v>
      </c>
      <c r="L49" s="190">
        <v>1.5</v>
      </c>
    </row>
    <row r="50" spans="1:12">
      <c r="A50" s="16"/>
      <c r="B50" s="33" t="s">
        <v>61</v>
      </c>
      <c r="C50" s="29" t="s">
        <v>62</v>
      </c>
      <c r="D50" s="29" t="s">
        <v>14</v>
      </c>
      <c r="E50" s="191">
        <v>0.95</v>
      </c>
      <c r="F50" s="195">
        <v>0.75</v>
      </c>
      <c r="G50" s="191">
        <v>0.5</v>
      </c>
      <c r="H50" s="191">
        <v>0.95</v>
      </c>
      <c r="I50" s="194">
        <v>0.75</v>
      </c>
      <c r="J50" s="194">
        <v>0.75</v>
      </c>
      <c r="K50" s="194">
        <v>0.75</v>
      </c>
      <c r="L50" s="190">
        <v>0.95</v>
      </c>
    </row>
    <row r="51" spans="1:12" ht="21.75" customHeight="1">
      <c r="A51" s="16"/>
      <c r="B51" s="28" t="s">
        <v>63</v>
      </c>
      <c r="C51" s="29"/>
      <c r="D51" s="29"/>
      <c r="E51" s="187"/>
      <c r="F51" s="187"/>
      <c r="G51" s="187"/>
      <c r="H51" s="191"/>
      <c r="I51" s="187"/>
      <c r="J51" s="187"/>
      <c r="K51" s="187"/>
      <c r="L51" s="191"/>
    </row>
    <row r="52" spans="1:12">
      <c r="A52" s="16"/>
      <c r="B52" s="33" t="s">
        <v>64</v>
      </c>
      <c r="C52" s="34" t="s">
        <v>320</v>
      </c>
      <c r="D52" s="29" t="s">
        <v>65</v>
      </c>
      <c r="E52" s="193">
        <v>0</v>
      </c>
      <c r="F52" s="195">
        <v>0.90200000000000002</v>
      </c>
      <c r="G52" s="193">
        <v>0</v>
      </c>
      <c r="H52" s="193">
        <v>0</v>
      </c>
      <c r="I52" s="194">
        <f>0.00454*100</f>
        <v>0.45399999999999996</v>
      </c>
      <c r="J52" s="195">
        <v>0.39200000000000002</v>
      </c>
      <c r="K52" s="195">
        <v>6.0299999999999999E-2</v>
      </c>
      <c r="L52" s="195">
        <v>0</v>
      </c>
    </row>
    <row r="53" spans="1:12">
      <c r="A53" s="16"/>
      <c r="B53" s="33" t="s">
        <v>66</v>
      </c>
      <c r="C53" s="34" t="s">
        <v>67</v>
      </c>
      <c r="D53" s="29" t="s">
        <v>65</v>
      </c>
      <c r="E53" s="193">
        <v>0</v>
      </c>
      <c r="F53" s="195">
        <v>0.875</v>
      </c>
      <c r="G53" s="193">
        <v>0</v>
      </c>
      <c r="H53" s="193">
        <v>0</v>
      </c>
      <c r="I53" s="194">
        <f>0.0173*100</f>
        <v>1.73</v>
      </c>
      <c r="J53" s="195">
        <v>2.3199999999999998</v>
      </c>
      <c r="K53" s="231">
        <v>1.82</v>
      </c>
      <c r="L53" s="195">
        <v>2.13</v>
      </c>
    </row>
    <row r="54" spans="1:12">
      <c r="A54" s="16"/>
      <c r="B54" s="33" t="s">
        <v>68</v>
      </c>
      <c r="C54" s="34" t="s">
        <v>69</v>
      </c>
      <c r="D54" s="29" t="s">
        <v>58</v>
      </c>
      <c r="E54" s="193">
        <v>0</v>
      </c>
      <c r="F54" s="195">
        <v>42</v>
      </c>
      <c r="G54" s="193">
        <v>0</v>
      </c>
      <c r="H54" s="193">
        <v>0</v>
      </c>
      <c r="I54" s="194">
        <v>7.9688999999999997</v>
      </c>
      <c r="J54" s="195">
        <v>10.8528</v>
      </c>
      <c r="K54" s="195">
        <v>19.235499999999998</v>
      </c>
      <c r="L54" s="195">
        <v>7.2291999999999996</v>
      </c>
    </row>
    <row r="55" spans="1:12">
      <c r="A55" s="16"/>
      <c r="B55" s="33" t="s">
        <v>70</v>
      </c>
      <c r="C55" s="34" t="s">
        <v>71</v>
      </c>
      <c r="D55" s="29" t="s">
        <v>14</v>
      </c>
      <c r="E55" s="193">
        <v>1</v>
      </c>
      <c r="F55" s="195">
        <v>2</v>
      </c>
      <c r="G55" s="193">
        <v>1</v>
      </c>
      <c r="H55" s="193">
        <v>1</v>
      </c>
      <c r="I55" s="194">
        <v>1</v>
      </c>
      <c r="J55" s="194">
        <v>1</v>
      </c>
      <c r="K55" s="194">
        <v>1</v>
      </c>
      <c r="L55" s="195">
        <v>2</v>
      </c>
    </row>
    <row r="56" spans="1:12">
      <c r="A56" s="16"/>
      <c r="B56" s="33" t="s">
        <v>72</v>
      </c>
      <c r="C56" s="34" t="s">
        <v>73</v>
      </c>
      <c r="D56" s="29" t="s">
        <v>74</v>
      </c>
      <c r="E56" s="193">
        <v>300</v>
      </c>
      <c r="F56" s="195">
        <v>434.6</v>
      </c>
      <c r="G56" s="193">
        <v>160</v>
      </c>
      <c r="H56" s="193">
        <v>300</v>
      </c>
      <c r="I56" s="195">
        <v>230</v>
      </c>
      <c r="J56" s="195">
        <v>230</v>
      </c>
      <c r="K56" s="195">
        <v>230</v>
      </c>
      <c r="L56" s="195">
        <v>179.25489999999999</v>
      </c>
    </row>
    <row r="57" spans="1:12">
      <c r="A57" s="16"/>
      <c r="B57" s="33" t="s">
        <v>75</v>
      </c>
      <c r="C57" s="34" t="s">
        <v>76</v>
      </c>
      <c r="D57" s="29" t="s">
        <v>14</v>
      </c>
      <c r="E57" s="193">
        <v>1.5</v>
      </c>
      <c r="F57" s="195">
        <v>1.6077999999999999</v>
      </c>
      <c r="G57" s="193">
        <v>1.5</v>
      </c>
      <c r="H57" s="193">
        <v>1.5</v>
      </c>
      <c r="I57" s="195">
        <v>1.1739999999999999</v>
      </c>
      <c r="J57" s="195">
        <v>1.1739999999999999</v>
      </c>
      <c r="K57" s="195">
        <v>1.1739999999999999</v>
      </c>
      <c r="L57" s="195">
        <v>1.0613999999999999</v>
      </c>
    </row>
    <row r="58" spans="1:12">
      <c r="A58" s="16"/>
      <c r="B58" s="33" t="s">
        <v>77</v>
      </c>
      <c r="C58" s="34" t="s">
        <v>78</v>
      </c>
      <c r="D58" s="29" t="s">
        <v>14</v>
      </c>
      <c r="E58" s="193">
        <v>0</v>
      </c>
      <c r="F58" s="195">
        <v>0</v>
      </c>
      <c r="G58" s="193">
        <v>0</v>
      </c>
      <c r="H58" s="193">
        <v>0</v>
      </c>
      <c r="I58" s="193">
        <v>0</v>
      </c>
      <c r="J58" s="193">
        <v>0</v>
      </c>
      <c r="K58" s="193">
        <v>0</v>
      </c>
      <c r="L58" s="195">
        <v>0</v>
      </c>
    </row>
    <row r="59" spans="1:12">
      <c r="A59" s="16"/>
      <c r="B59" s="33" t="s">
        <v>79</v>
      </c>
      <c r="C59" s="34" t="s">
        <v>80</v>
      </c>
      <c r="D59" s="29" t="s">
        <v>14</v>
      </c>
      <c r="E59" s="193">
        <v>0.2</v>
      </c>
      <c r="F59" s="195">
        <v>0.2</v>
      </c>
      <c r="G59" s="193">
        <v>0.2</v>
      </c>
      <c r="H59" s="193">
        <v>0.2</v>
      </c>
      <c r="I59" s="193">
        <v>0.2</v>
      </c>
      <c r="J59" s="193">
        <v>0.2</v>
      </c>
      <c r="K59" s="193">
        <v>0.2</v>
      </c>
      <c r="L59" s="195">
        <v>0.2</v>
      </c>
    </row>
    <row r="60" spans="1:12">
      <c r="A60" s="16"/>
      <c r="B60" s="33" t="s">
        <v>81</v>
      </c>
      <c r="C60" s="34" t="s">
        <v>82</v>
      </c>
      <c r="D60" s="29" t="s">
        <v>14</v>
      </c>
      <c r="E60" s="193">
        <v>0.2</v>
      </c>
      <c r="F60" s="195">
        <v>0.4</v>
      </c>
      <c r="G60" s="193">
        <v>0.2</v>
      </c>
      <c r="H60" s="193">
        <v>0.2</v>
      </c>
      <c r="I60" s="193">
        <v>0.4</v>
      </c>
      <c r="J60" s="193">
        <v>0.4</v>
      </c>
      <c r="K60" s="193">
        <v>0.4</v>
      </c>
      <c r="L60" s="195">
        <v>0.2</v>
      </c>
    </row>
    <row r="61" spans="1:12" ht="21.75" customHeight="1">
      <c r="A61" s="16"/>
      <c r="B61" s="28" t="s">
        <v>83</v>
      </c>
      <c r="C61" s="29"/>
      <c r="D61" s="29"/>
      <c r="E61" s="187"/>
      <c r="F61" s="187"/>
      <c r="G61" s="187"/>
      <c r="H61" s="191"/>
      <c r="I61" s="187"/>
      <c r="J61" s="187"/>
      <c r="K61" s="187"/>
      <c r="L61" s="191"/>
    </row>
    <row r="62" spans="1:12" ht="15.75">
      <c r="A62" s="31"/>
      <c r="B62" s="32" t="s">
        <v>84</v>
      </c>
      <c r="C62" s="30"/>
      <c r="D62" s="30"/>
      <c r="E62" s="187"/>
      <c r="F62" s="187"/>
      <c r="G62" s="187"/>
      <c r="H62" s="187"/>
      <c r="I62" s="187"/>
      <c r="J62" s="187"/>
      <c r="K62" s="187"/>
      <c r="L62" s="187"/>
    </row>
    <row r="63" spans="1:12">
      <c r="A63" s="16"/>
      <c r="B63" s="33" t="s">
        <v>85</v>
      </c>
      <c r="C63" s="34" t="s">
        <v>86</v>
      </c>
      <c r="D63" s="29" t="s">
        <v>156</v>
      </c>
      <c r="E63" s="193">
        <v>11</v>
      </c>
      <c r="F63" s="195">
        <v>6</v>
      </c>
      <c r="G63" s="193">
        <v>5</v>
      </c>
      <c r="H63" s="193">
        <v>6</v>
      </c>
      <c r="I63" s="195">
        <v>5.5286999999999997</v>
      </c>
      <c r="J63" s="195">
        <v>5.5286999999999997</v>
      </c>
      <c r="K63" s="195">
        <v>5.5286999999999997</v>
      </c>
      <c r="L63" s="195">
        <v>14</v>
      </c>
    </row>
    <row r="64" spans="1:12">
      <c r="A64" s="16"/>
      <c r="B64" s="33" t="s">
        <v>87</v>
      </c>
      <c r="C64" s="34" t="s">
        <v>88</v>
      </c>
      <c r="D64" s="29" t="s">
        <v>156</v>
      </c>
      <c r="E64" s="193">
        <v>4</v>
      </c>
      <c r="F64" s="195">
        <v>4.5</v>
      </c>
      <c r="G64" s="193">
        <v>5</v>
      </c>
      <c r="H64" s="193">
        <v>6</v>
      </c>
      <c r="I64" s="195">
        <v>3.8754</v>
      </c>
      <c r="J64" s="195">
        <v>3.8754</v>
      </c>
      <c r="K64" s="195">
        <v>3.8754</v>
      </c>
      <c r="L64" s="195">
        <v>8</v>
      </c>
    </row>
    <row r="65" spans="1:13">
      <c r="A65" s="16"/>
      <c r="B65" s="33" t="s">
        <v>89</v>
      </c>
      <c r="C65" s="34" t="s">
        <v>90</v>
      </c>
      <c r="D65" s="29" t="s">
        <v>58</v>
      </c>
      <c r="E65" s="193">
        <v>2.5</v>
      </c>
      <c r="F65" s="195">
        <v>6</v>
      </c>
      <c r="G65" s="193">
        <v>2</v>
      </c>
      <c r="H65" s="193">
        <v>2.5</v>
      </c>
      <c r="I65" s="195">
        <v>5.9705000000000004</v>
      </c>
      <c r="J65" s="195">
        <v>5.9705000000000004</v>
      </c>
      <c r="K65" s="195">
        <v>5.9705000000000004</v>
      </c>
      <c r="L65" s="195">
        <v>4</v>
      </c>
    </row>
    <row r="66" spans="1:13" ht="15.75">
      <c r="A66" s="31"/>
      <c r="B66" s="32" t="s">
        <v>91</v>
      </c>
      <c r="C66" s="30"/>
      <c r="D66" s="30"/>
      <c r="E66" s="187"/>
      <c r="F66" s="187"/>
      <c r="G66" s="187"/>
      <c r="H66" s="187"/>
      <c r="I66" s="187"/>
      <c r="J66" s="187"/>
      <c r="K66" s="187"/>
      <c r="L66" s="187"/>
    </row>
    <row r="67" spans="1:13">
      <c r="A67" s="16"/>
      <c r="B67" s="33" t="s">
        <v>92</v>
      </c>
      <c r="C67" s="34" t="s">
        <v>93</v>
      </c>
      <c r="D67" s="29" t="s">
        <v>14</v>
      </c>
      <c r="E67" s="193">
        <v>0.5</v>
      </c>
      <c r="F67" s="195">
        <v>0.5</v>
      </c>
      <c r="G67" s="193">
        <v>0.5</v>
      </c>
      <c r="H67" s="193">
        <v>0.5</v>
      </c>
      <c r="I67" s="194">
        <v>0.56999999999999995</v>
      </c>
      <c r="J67" s="194">
        <v>0.56999999999999995</v>
      </c>
      <c r="K67" s="194">
        <v>0.56999999999999995</v>
      </c>
      <c r="L67" s="195">
        <v>0.65069999999999995</v>
      </c>
    </row>
    <row r="68" spans="1:13">
      <c r="A68" s="16"/>
      <c r="B68" s="33" t="s">
        <v>367</v>
      </c>
      <c r="C68" s="34" t="s">
        <v>94</v>
      </c>
      <c r="D68" s="29" t="s">
        <v>14</v>
      </c>
      <c r="E68" s="193">
        <v>3</v>
      </c>
      <c r="F68" s="193">
        <v>8</v>
      </c>
      <c r="G68" s="193">
        <v>3</v>
      </c>
      <c r="H68" s="193">
        <v>0</v>
      </c>
      <c r="I68" s="193">
        <v>0</v>
      </c>
      <c r="J68" s="193">
        <v>2</v>
      </c>
      <c r="K68" s="193">
        <v>2</v>
      </c>
      <c r="L68" s="289">
        <v>-0.55049999999999999</v>
      </c>
    </row>
    <row r="69" spans="1:13">
      <c r="A69" s="16"/>
      <c r="B69" s="33" t="s">
        <v>368</v>
      </c>
      <c r="C69" s="34" t="s">
        <v>277</v>
      </c>
      <c r="D69" s="29" t="s">
        <v>14</v>
      </c>
      <c r="E69" s="193">
        <v>0</v>
      </c>
      <c r="F69" s="195">
        <v>12.5</v>
      </c>
      <c r="G69" s="193">
        <v>0</v>
      </c>
      <c r="H69" s="193">
        <v>0</v>
      </c>
      <c r="I69" s="197">
        <v>10.558999999999999</v>
      </c>
      <c r="J69" s="230">
        <v>10.527850000000001</v>
      </c>
      <c r="K69" s="230">
        <v>10.527850000000001</v>
      </c>
      <c r="L69" s="289">
        <v>0.67679999999999996</v>
      </c>
    </row>
    <row r="70" spans="1:13">
      <c r="A70" s="16"/>
      <c r="B70" s="33" t="s">
        <v>366</v>
      </c>
      <c r="C70" s="34" t="s">
        <v>289</v>
      </c>
      <c r="D70" s="29" t="s">
        <v>14</v>
      </c>
      <c r="E70" s="193">
        <v>0</v>
      </c>
      <c r="F70" s="195">
        <v>0.14468</v>
      </c>
      <c r="G70" s="193">
        <v>0</v>
      </c>
      <c r="H70" s="193">
        <v>0</v>
      </c>
      <c r="I70" s="196">
        <v>0.1263</v>
      </c>
      <c r="J70" s="231">
        <v>0.24729999999999999</v>
      </c>
      <c r="K70" s="231">
        <v>0.24729999999999999</v>
      </c>
      <c r="L70" s="289">
        <v>0.82950000000000002</v>
      </c>
    </row>
    <row r="71" spans="1:13">
      <c r="A71" s="16"/>
      <c r="B71" s="33" t="s">
        <v>95</v>
      </c>
      <c r="C71" s="34" t="s">
        <v>96</v>
      </c>
      <c r="D71" s="29" t="s">
        <v>14</v>
      </c>
      <c r="E71" s="193">
        <v>0.15</v>
      </c>
      <c r="F71" s="195">
        <v>0.2</v>
      </c>
      <c r="G71" s="193">
        <v>0.15</v>
      </c>
      <c r="H71" s="193">
        <v>0.15</v>
      </c>
      <c r="I71" s="193">
        <v>0.2</v>
      </c>
      <c r="J71" s="193">
        <v>0.2</v>
      </c>
      <c r="K71" s="193">
        <v>0.2</v>
      </c>
      <c r="L71" s="195">
        <v>0.25</v>
      </c>
    </row>
    <row r="72" spans="1:13">
      <c r="A72" s="16"/>
      <c r="B72" s="33" t="s">
        <v>97</v>
      </c>
      <c r="C72" s="34" t="s">
        <v>98</v>
      </c>
      <c r="D72" s="29" t="s">
        <v>14</v>
      </c>
      <c r="E72" s="193">
        <v>0</v>
      </c>
      <c r="F72" s="193">
        <v>5</v>
      </c>
      <c r="G72" s="193">
        <v>5</v>
      </c>
      <c r="H72" s="193">
        <v>0</v>
      </c>
      <c r="I72" s="191">
        <v>5</v>
      </c>
      <c r="J72" s="191">
        <v>5</v>
      </c>
      <c r="K72" s="191">
        <v>5</v>
      </c>
      <c r="L72" s="195">
        <v>4</v>
      </c>
    </row>
    <row r="73" spans="1:13" ht="15.75">
      <c r="A73" s="31"/>
      <c r="B73" s="32" t="s">
        <v>99</v>
      </c>
      <c r="C73" s="30"/>
      <c r="D73" s="30"/>
      <c r="E73" s="187"/>
      <c r="F73" s="187"/>
      <c r="G73" s="187"/>
      <c r="H73" s="187"/>
      <c r="I73" s="187"/>
      <c r="J73" s="187"/>
      <c r="K73" s="187"/>
      <c r="L73" s="187"/>
    </row>
    <row r="74" spans="1:13">
      <c r="A74" s="16"/>
      <c r="B74" s="33" t="s">
        <v>100</v>
      </c>
      <c r="C74" s="34" t="s">
        <v>101</v>
      </c>
      <c r="D74" s="29" t="s">
        <v>102</v>
      </c>
      <c r="E74" s="193">
        <v>0.06</v>
      </c>
      <c r="F74" s="195">
        <v>5.5E-2</v>
      </c>
      <c r="G74" s="193">
        <v>0.05</v>
      </c>
      <c r="H74" s="193">
        <v>5.5E-2</v>
      </c>
      <c r="I74" s="194">
        <v>5.2999999999999999E-2</v>
      </c>
      <c r="J74" s="195">
        <v>5.2999999999999999E-2</v>
      </c>
      <c r="K74" s="195">
        <v>5.2999999999999999E-2</v>
      </c>
      <c r="L74" s="289">
        <v>6.5000000000000002E-2</v>
      </c>
    </row>
    <row r="75" spans="1:13">
      <c r="A75" s="16"/>
      <c r="B75" s="33" t="s">
        <v>103</v>
      </c>
      <c r="C75" s="34" t="s">
        <v>104</v>
      </c>
      <c r="D75" s="29" t="s">
        <v>14</v>
      </c>
      <c r="E75" s="193">
        <v>0.47</v>
      </c>
      <c r="F75" s="193">
        <v>0.47</v>
      </c>
      <c r="G75" s="193">
        <v>0.47</v>
      </c>
      <c r="H75" s="193">
        <v>0.47</v>
      </c>
      <c r="I75" s="193">
        <v>0.47</v>
      </c>
      <c r="J75" s="193">
        <v>0.47</v>
      </c>
      <c r="K75" s="193">
        <v>0.47</v>
      </c>
      <c r="L75" s="193">
        <v>0.47</v>
      </c>
    </row>
    <row r="76" spans="1:13" ht="15.75">
      <c r="A76" s="31"/>
      <c r="B76" s="32" t="s">
        <v>105</v>
      </c>
      <c r="C76" s="30"/>
      <c r="D76" s="30"/>
      <c r="E76" s="187"/>
      <c r="F76" s="187"/>
      <c r="G76" s="187"/>
      <c r="H76" s="187"/>
      <c r="I76" s="187"/>
      <c r="J76" s="187"/>
      <c r="K76" s="187"/>
      <c r="L76" s="187"/>
    </row>
    <row r="77" spans="1:13">
      <c r="A77" s="16"/>
      <c r="B77" s="33" t="s">
        <v>163</v>
      </c>
      <c r="C77" s="34" t="s">
        <v>164</v>
      </c>
      <c r="D77" s="29" t="s">
        <v>108</v>
      </c>
      <c r="E77" s="193">
        <v>0</v>
      </c>
      <c r="F77" s="193">
        <v>0</v>
      </c>
      <c r="G77" s="193">
        <v>0</v>
      </c>
      <c r="H77" s="193">
        <v>0</v>
      </c>
      <c r="I77" s="194">
        <v>0</v>
      </c>
      <c r="J77" s="195">
        <v>0</v>
      </c>
      <c r="K77" s="195">
        <v>0</v>
      </c>
      <c r="L77" s="289">
        <v>0</v>
      </c>
    </row>
    <row r="78" spans="1:13">
      <c r="A78" s="16"/>
      <c r="B78" s="33" t="s">
        <v>106</v>
      </c>
      <c r="C78" s="34" t="s">
        <v>107</v>
      </c>
      <c r="D78" s="29" t="s">
        <v>108</v>
      </c>
      <c r="E78" s="193">
        <v>0.02</v>
      </c>
      <c r="F78" s="193">
        <v>0.02</v>
      </c>
      <c r="G78" s="193">
        <v>0.02</v>
      </c>
      <c r="H78" s="193">
        <v>0.02</v>
      </c>
      <c r="I78" s="264">
        <v>1.4999999999999999E-2</v>
      </c>
      <c r="J78" s="195">
        <v>1.18E-2</v>
      </c>
      <c r="K78" s="195">
        <v>1.18E-2</v>
      </c>
      <c r="L78" s="289">
        <v>1.4999999999999999E-2</v>
      </c>
      <c r="M78" s="289">
        <v>1.154E-2</v>
      </c>
    </row>
    <row r="79" spans="1:13">
      <c r="A79" s="16"/>
      <c r="B79" s="33" t="s">
        <v>109</v>
      </c>
      <c r="C79" s="29" t="s">
        <v>110</v>
      </c>
      <c r="D79" s="29" t="s">
        <v>14</v>
      </c>
      <c r="E79" s="193">
        <v>3.33</v>
      </c>
      <c r="F79" s="193">
        <v>3.33</v>
      </c>
      <c r="G79" s="193">
        <v>3.33</v>
      </c>
      <c r="H79" s="193">
        <v>3.33</v>
      </c>
      <c r="I79" s="194">
        <v>3</v>
      </c>
      <c r="J79" s="195">
        <v>3</v>
      </c>
      <c r="K79" s="195">
        <v>3</v>
      </c>
      <c r="L79" s="195">
        <v>3.33</v>
      </c>
    </row>
    <row r="80" spans="1:13">
      <c r="A80" s="16"/>
      <c r="B80" s="33" t="s">
        <v>111</v>
      </c>
      <c r="C80" s="34" t="s">
        <v>112</v>
      </c>
      <c r="D80" s="29" t="s">
        <v>113</v>
      </c>
      <c r="E80" s="193">
        <v>0.05</v>
      </c>
      <c r="F80" s="193">
        <v>0.05</v>
      </c>
      <c r="G80" s="193">
        <v>0.05</v>
      </c>
      <c r="H80" s="193">
        <v>0.05</v>
      </c>
      <c r="I80" s="264">
        <v>0.05</v>
      </c>
      <c r="J80" s="195">
        <v>4.0800000000000003E-2</v>
      </c>
      <c r="K80" s="195">
        <v>4.0800000000000003E-2</v>
      </c>
      <c r="L80" s="195">
        <v>7.8479999999999994E-2</v>
      </c>
    </row>
    <row r="81" spans="1:12">
      <c r="A81" s="16"/>
      <c r="B81" s="33" t="s">
        <v>114</v>
      </c>
      <c r="C81" s="34" t="s">
        <v>115</v>
      </c>
      <c r="D81" s="29" t="s">
        <v>108</v>
      </c>
      <c r="E81" s="193">
        <v>0.2</v>
      </c>
      <c r="F81" s="193">
        <v>0.2</v>
      </c>
      <c r="G81" s="193">
        <v>0.2</v>
      </c>
      <c r="H81" s="193">
        <v>0.2</v>
      </c>
      <c r="I81" s="194">
        <v>0.2</v>
      </c>
      <c r="J81" s="195">
        <v>0.2</v>
      </c>
      <c r="K81" s="195">
        <v>0.2</v>
      </c>
      <c r="L81" s="195">
        <v>0.2</v>
      </c>
    </row>
    <row r="82" spans="1:12" ht="21.75" customHeight="1">
      <c r="A82" s="16"/>
      <c r="B82" s="28" t="s">
        <v>116</v>
      </c>
      <c r="C82" s="29"/>
      <c r="D82" s="29"/>
      <c r="E82" s="187"/>
      <c r="F82" s="187"/>
      <c r="G82" s="187"/>
      <c r="H82" s="191"/>
      <c r="I82" s="187"/>
      <c r="J82" s="187"/>
      <c r="K82" s="187"/>
      <c r="L82" s="191"/>
    </row>
    <row r="83" spans="1:12" ht="15.75">
      <c r="A83" s="31"/>
      <c r="B83" s="32" t="s">
        <v>117</v>
      </c>
      <c r="C83" s="30"/>
      <c r="D83" s="30"/>
      <c r="E83" s="187"/>
      <c r="F83" s="187"/>
      <c r="G83" s="187"/>
      <c r="H83" s="187"/>
      <c r="I83" s="187"/>
      <c r="J83" s="187"/>
      <c r="K83" s="187"/>
      <c r="L83" s="187"/>
    </row>
    <row r="84" spans="1:12">
      <c r="A84" s="16"/>
      <c r="B84" s="33" t="s">
        <v>118</v>
      </c>
      <c r="C84" s="34" t="s">
        <v>119</v>
      </c>
      <c r="D84" s="29" t="s">
        <v>14</v>
      </c>
      <c r="E84" s="193">
        <v>0.75</v>
      </c>
      <c r="F84" s="195">
        <v>0.78959999999999997</v>
      </c>
      <c r="G84" s="193">
        <v>0.5</v>
      </c>
      <c r="H84" s="193">
        <v>0.15</v>
      </c>
      <c r="I84" s="188">
        <v>0.64780900000000008</v>
      </c>
      <c r="J84" s="234">
        <v>1.1982999999999999</v>
      </c>
      <c r="K84" s="234">
        <v>1.1982999999999999</v>
      </c>
      <c r="L84" s="195">
        <v>2.0905</v>
      </c>
    </row>
    <row r="85" spans="1:12">
      <c r="A85" s="16"/>
      <c r="B85" s="33" t="s">
        <v>120</v>
      </c>
      <c r="C85" s="34" t="s">
        <v>121</v>
      </c>
      <c r="D85" s="29" t="s">
        <v>14</v>
      </c>
      <c r="E85" s="193">
        <v>0.15</v>
      </c>
      <c r="F85" s="195">
        <v>5.79E-2</v>
      </c>
      <c r="G85" s="193">
        <v>0.1</v>
      </c>
      <c r="H85" s="193">
        <v>0.15</v>
      </c>
      <c r="I85" s="188">
        <v>0.240205</v>
      </c>
      <c r="J85" s="234">
        <v>0.2349</v>
      </c>
      <c r="K85" s="234">
        <v>0.2349</v>
      </c>
      <c r="L85" s="195">
        <v>0.1467</v>
      </c>
    </row>
    <row r="86" spans="1:12">
      <c r="A86" s="16"/>
      <c r="B86" s="33" t="s">
        <v>122</v>
      </c>
      <c r="C86" s="34" t="s">
        <v>123</v>
      </c>
      <c r="D86" s="29" t="s">
        <v>58</v>
      </c>
      <c r="E86" s="193">
        <v>2</v>
      </c>
      <c r="F86" s="195">
        <v>5.6970000000000001</v>
      </c>
      <c r="G86" s="193">
        <v>5</v>
      </c>
      <c r="H86" s="193">
        <v>1.5</v>
      </c>
      <c r="I86" s="188">
        <v>4.7514566874619106</v>
      </c>
      <c r="J86" s="234">
        <v>1.7366999999999999</v>
      </c>
      <c r="K86" s="234">
        <v>1.7366999999999999</v>
      </c>
      <c r="L86" s="195">
        <v>1.8242</v>
      </c>
    </row>
    <row r="87" spans="1:12" ht="15.75">
      <c r="A87" s="31"/>
      <c r="B87" s="32" t="s">
        <v>124</v>
      </c>
      <c r="C87" s="30"/>
      <c r="D87" s="30"/>
      <c r="E87" s="187"/>
      <c r="F87" s="187"/>
      <c r="G87" s="187"/>
      <c r="H87" s="187"/>
      <c r="I87" s="187"/>
      <c r="J87" s="187"/>
      <c r="K87" s="187"/>
      <c r="L87" s="187"/>
    </row>
    <row r="88" spans="1:12">
      <c r="A88" s="16"/>
      <c r="B88" s="33" t="s">
        <v>125</v>
      </c>
      <c r="C88" s="34" t="s">
        <v>322</v>
      </c>
      <c r="D88" s="29" t="s">
        <v>126</v>
      </c>
      <c r="E88" s="199">
        <v>0.45</v>
      </c>
      <c r="F88" s="231">
        <v>0.31950000000000001</v>
      </c>
      <c r="G88" s="199">
        <v>0.48</v>
      </c>
      <c r="H88" s="199">
        <v>0.5</v>
      </c>
      <c r="I88" s="195">
        <v>0.35799999999999998</v>
      </c>
      <c r="J88" s="195">
        <v>0.35799999999999998</v>
      </c>
      <c r="K88" s="195">
        <v>0.32829999999999998</v>
      </c>
      <c r="L88" s="231">
        <v>0.47</v>
      </c>
    </row>
    <row r="89" spans="1:12">
      <c r="A89" s="16"/>
      <c r="B89" s="33" t="s">
        <v>127</v>
      </c>
      <c r="C89" s="34" t="s">
        <v>323</v>
      </c>
      <c r="D89" s="29" t="s">
        <v>126</v>
      </c>
      <c r="E89" s="199">
        <v>0.45</v>
      </c>
      <c r="F89" s="231">
        <v>0.56669999999999998</v>
      </c>
      <c r="G89" s="199">
        <v>0.48</v>
      </c>
      <c r="H89" s="199">
        <v>0.5</v>
      </c>
      <c r="I89" s="195">
        <v>0.52</v>
      </c>
      <c r="J89" s="195">
        <v>0.48199999999999998</v>
      </c>
      <c r="K89" s="195">
        <v>0.47799999999999998</v>
      </c>
      <c r="L89" s="231">
        <v>0.47</v>
      </c>
    </row>
    <row r="90" spans="1:12">
      <c r="A90" s="16"/>
      <c r="B90" s="33" t="s">
        <v>128</v>
      </c>
      <c r="C90" s="34" t="s">
        <v>129</v>
      </c>
      <c r="D90" s="29" t="s">
        <v>58</v>
      </c>
      <c r="E90" s="193">
        <v>4</v>
      </c>
      <c r="F90" s="195">
        <v>32.042999999999999</v>
      </c>
      <c r="G90" s="193">
        <v>4</v>
      </c>
      <c r="H90" s="193">
        <v>4</v>
      </c>
      <c r="I90" s="195">
        <v>7.0540000000000003</v>
      </c>
      <c r="J90" s="195">
        <v>7.0540000000000003</v>
      </c>
      <c r="K90" s="195">
        <v>6.9126000000000003</v>
      </c>
      <c r="L90" s="195">
        <v>1</v>
      </c>
    </row>
    <row r="91" spans="1:12" ht="15.75">
      <c r="A91" s="31"/>
      <c r="B91" s="32" t="s">
        <v>130</v>
      </c>
      <c r="C91" s="30"/>
      <c r="D91" s="30"/>
      <c r="E91" s="187"/>
      <c r="F91" s="187"/>
      <c r="G91" s="187"/>
      <c r="H91" s="187"/>
      <c r="I91" s="187"/>
      <c r="J91" s="187"/>
      <c r="K91" s="187"/>
      <c r="L91" s="187"/>
    </row>
    <row r="92" spans="1:12">
      <c r="A92" s="31"/>
      <c r="B92" s="33" t="s">
        <v>313</v>
      </c>
      <c r="C92" s="29" t="s">
        <v>312</v>
      </c>
      <c r="D92" s="29" t="s">
        <v>14</v>
      </c>
      <c r="E92" s="191">
        <v>0</v>
      </c>
      <c r="F92" s="190">
        <v>1.8499000000000001</v>
      </c>
      <c r="G92" s="191">
        <v>0</v>
      </c>
      <c r="H92" s="191">
        <v>0</v>
      </c>
      <c r="I92" s="191">
        <v>0</v>
      </c>
      <c r="J92" s="195">
        <v>2.532</v>
      </c>
      <c r="K92" s="195">
        <v>0</v>
      </c>
      <c r="L92" s="190">
        <v>2.8681000000000001</v>
      </c>
    </row>
    <row r="93" spans="1:12">
      <c r="A93" s="16"/>
      <c r="B93" s="33" t="s">
        <v>131</v>
      </c>
      <c r="C93" s="29" t="s">
        <v>132</v>
      </c>
      <c r="D93" s="29" t="s">
        <v>14</v>
      </c>
      <c r="E93" s="191">
        <v>0</v>
      </c>
      <c r="F93" s="190">
        <v>7.8803000000000001</v>
      </c>
      <c r="G93" s="191">
        <v>0</v>
      </c>
      <c r="H93" s="191">
        <v>0</v>
      </c>
      <c r="I93" s="195">
        <v>1.0738075</v>
      </c>
      <c r="J93" s="195">
        <v>2.2818000000000001</v>
      </c>
      <c r="K93" s="195">
        <v>7.9899999999999999E-2</v>
      </c>
      <c r="L93" s="190">
        <v>0.85150000000000003</v>
      </c>
    </row>
    <row r="94" spans="1:12">
      <c r="A94" s="16"/>
      <c r="B94" s="33" t="s">
        <v>314</v>
      </c>
      <c r="C94" s="29" t="s">
        <v>316</v>
      </c>
      <c r="D94" s="29" t="s">
        <v>14</v>
      </c>
      <c r="E94" s="191">
        <v>0</v>
      </c>
      <c r="F94" s="190">
        <v>-22.1294</v>
      </c>
      <c r="G94" s="191">
        <v>0</v>
      </c>
      <c r="H94" s="191">
        <v>0</v>
      </c>
      <c r="I94" s="195">
        <v>-5.4379536999999996</v>
      </c>
      <c r="J94" s="195">
        <v>-12.5702</v>
      </c>
      <c r="K94" s="195">
        <v>0</v>
      </c>
      <c r="L94" s="190">
        <v>-9.8588000000000005</v>
      </c>
    </row>
    <row r="95" spans="1:12">
      <c r="A95" s="16"/>
      <c r="B95" s="33" t="s">
        <v>315</v>
      </c>
      <c r="C95" s="29" t="s">
        <v>317</v>
      </c>
      <c r="D95" s="29" t="s">
        <v>14</v>
      </c>
      <c r="E95" s="191">
        <v>0</v>
      </c>
      <c r="F95" s="190">
        <v>-0.2722</v>
      </c>
      <c r="G95" s="191">
        <v>0</v>
      </c>
      <c r="H95" s="191">
        <v>0</v>
      </c>
      <c r="I95" s="195">
        <v>-0.85445300000000002</v>
      </c>
      <c r="J95" s="195">
        <v>-0.72489999999999999</v>
      </c>
      <c r="K95" s="195">
        <v>0.92259999999999998</v>
      </c>
      <c r="L95" s="190">
        <v>-0.73550000000000004</v>
      </c>
    </row>
    <row r="96" spans="1:12">
      <c r="A96" s="16"/>
      <c r="B96" s="33" t="s">
        <v>279</v>
      </c>
      <c r="C96" s="29" t="s">
        <v>251</v>
      </c>
      <c r="D96" s="29" t="s">
        <v>14</v>
      </c>
      <c r="E96" s="191">
        <v>0</v>
      </c>
      <c r="F96" s="190">
        <v>0.44919999999999999</v>
      </c>
      <c r="G96" s="191">
        <v>0</v>
      </c>
      <c r="H96" s="191">
        <v>0</v>
      </c>
      <c r="I96" s="195">
        <v>0.54500199999999999</v>
      </c>
      <c r="J96" s="195">
        <v>0.31890000000000002</v>
      </c>
      <c r="K96" s="195">
        <v>0.308</v>
      </c>
      <c r="L96" s="190">
        <v>0.3347</v>
      </c>
    </row>
    <row r="97" spans="1:12">
      <c r="A97" s="16"/>
      <c r="B97" s="33" t="s">
        <v>281</v>
      </c>
      <c r="C97" s="29" t="s">
        <v>249</v>
      </c>
      <c r="D97" s="29" t="s">
        <v>14</v>
      </c>
      <c r="E97" s="191">
        <v>0</v>
      </c>
      <c r="F97" s="190">
        <v>0.95840000000000003</v>
      </c>
      <c r="G97" s="191">
        <v>0</v>
      </c>
      <c r="H97" s="191">
        <v>0</v>
      </c>
      <c r="I97" s="195">
        <v>-2.1778499999999999E-2</v>
      </c>
      <c r="J97" s="195">
        <v>0.12189999999999999</v>
      </c>
      <c r="K97" s="195">
        <v>0.24390000000000001</v>
      </c>
      <c r="L97" s="190">
        <v>0.3014</v>
      </c>
    </row>
    <row r="98" spans="1:12">
      <c r="A98" s="16"/>
      <c r="B98" s="33" t="s">
        <v>280</v>
      </c>
      <c r="C98" s="29" t="s">
        <v>250</v>
      </c>
      <c r="D98" s="29" t="s">
        <v>14</v>
      </c>
      <c r="E98" s="191">
        <v>0</v>
      </c>
      <c r="F98" s="190">
        <v>-0.90139999999999998</v>
      </c>
      <c r="G98" s="191">
        <v>0</v>
      </c>
      <c r="H98" s="191">
        <v>0</v>
      </c>
      <c r="I98" s="195">
        <v>0.2242741</v>
      </c>
      <c r="J98" s="195">
        <v>0</v>
      </c>
      <c r="K98" s="195">
        <v>0</v>
      </c>
      <c r="L98" s="190">
        <v>0</v>
      </c>
    </row>
    <row r="99" spans="1:12" ht="15.75">
      <c r="A99" s="31"/>
      <c r="B99" s="32" t="s">
        <v>133</v>
      </c>
      <c r="C99" s="30"/>
      <c r="D99" s="30"/>
      <c r="E99" s="187"/>
      <c r="F99" s="187"/>
      <c r="G99" s="187"/>
      <c r="H99" s="187"/>
      <c r="I99" s="187"/>
      <c r="J99" s="187"/>
      <c r="K99" s="187"/>
      <c r="L99" s="187"/>
    </row>
    <row r="100" spans="1:12">
      <c r="A100" s="16"/>
      <c r="B100" s="33" t="s">
        <v>134</v>
      </c>
      <c r="C100" s="29" t="s">
        <v>135</v>
      </c>
      <c r="D100" s="29" t="s">
        <v>14</v>
      </c>
      <c r="E100" s="191">
        <v>0</v>
      </c>
      <c r="F100" s="191">
        <v>0</v>
      </c>
      <c r="G100" s="191">
        <v>0</v>
      </c>
      <c r="H100" s="191">
        <v>0</v>
      </c>
      <c r="I100" s="191">
        <v>0</v>
      </c>
      <c r="J100" s="191">
        <v>0</v>
      </c>
      <c r="K100" s="191">
        <v>0</v>
      </c>
      <c r="L100" s="191">
        <v>0</v>
      </c>
    </row>
    <row r="101" spans="1:12">
      <c r="A101" s="16"/>
      <c r="B101" s="33" t="s">
        <v>136</v>
      </c>
      <c r="C101" s="29" t="s">
        <v>137</v>
      </c>
      <c r="D101" s="29" t="s">
        <v>14</v>
      </c>
      <c r="E101" s="191">
        <v>0</v>
      </c>
      <c r="F101" s="191">
        <v>0</v>
      </c>
      <c r="G101" s="191">
        <v>0</v>
      </c>
      <c r="H101" s="191">
        <v>0</v>
      </c>
      <c r="I101" s="191">
        <v>0</v>
      </c>
      <c r="J101" s="191">
        <v>0</v>
      </c>
      <c r="K101" s="191">
        <v>0</v>
      </c>
      <c r="L101" s="191">
        <v>0</v>
      </c>
    </row>
    <row r="102" spans="1:12">
      <c r="A102" s="16"/>
      <c r="B102" s="33" t="s">
        <v>138</v>
      </c>
      <c r="C102" s="29" t="s">
        <v>139</v>
      </c>
      <c r="D102" s="29" t="s">
        <v>14</v>
      </c>
      <c r="E102" s="191">
        <v>0</v>
      </c>
      <c r="F102" s="191">
        <v>0</v>
      </c>
      <c r="G102" s="191">
        <v>0</v>
      </c>
      <c r="H102" s="191">
        <v>0</v>
      </c>
      <c r="I102" s="191">
        <v>0</v>
      </c>
      <c r="J102" s="191">
        <v>0</v>
      </c>
      <c r="K102" s="191">
        <v>0</v>
      </c>
      <c r="L102" s="191">
        <v>0</v>
      </c>
    </row>
    <row r="103" spans="1:12">
      <c r="B103" s="32" t="s">
        <v>242</v>
      </c>
      <c r="C103" s="29"/>
      <c r="D103" s="29"/>
      <c r="E103" s="191"/>
      <c r="F103" s="191"/>
      <c r="G103" s="191"/>
      <c r="H103" s="191"/>
      <c r="I103" s="191"/>
      <c r="J103" s="191"/>
      <c r="K103" s="191"/>
      <c r="L103" s="191"/>
    </row>
    <row r="104" spans="1:12">
      <c r="B104" s="33" t="s">
        <v>234</v>
      </c>
      <c r="C104" s="29" t="s">
        <v>240</v>
      </c>
      <c r="D104" s="29" t="s">
        <v>14</v>
      </c>
      <c r="E104" s="191">
        <v>0</v>
      </c>
      <c r="F104" s="190">
        <v>1.1785000000000001</v>
      </c>
      <c r="G104" s="191">
        <v>0</v>
      </c>
      <c r="H104" s="191">
        <v>0</v>
      </c>
      <c r="I104" s="190">
        <v>0.92510000000000003</v>
      </c>
      <c r="J104" s="190">
        <v>1.232</v>
      </c>
      <c r="K104" s="284">
        <v>1.2319</v>
      </c>
      <c r="L104" s="291">
        <v>1.1200000000000001</v>
      </c>
    </row>
    <row r="105" spans="1:12">
      <c r="B105" s="33" t="s">
        <v>235</v>
      </c>
      <c r="C105" s="29" t="s">
        <v>238</v>
      </c>
      <c r="D105" s="29" t="s">
        <v>14</v>
      </c>
      <c r="E105" s="191">
        <v>0</v>
      </c>
      <c r="F105" s="190">
        <v>-2.81E-2</v>
      </c>
      <c r="G105" s="191">
        <v>0</v>
      </c>
      <c r="H105" s="191">
        <v>0</v>
      </c>
      <c r="I105" s="190">
        <v>-8.6900000000000005E-2</v>
      </c>
      <c r="J105" s="190">
        <v>-1.7000000000000001E-2</v>
      </c>
      <c r="K105" s="284">
        <v>-1.66E-2</v>
      </c>
      <c r="L105" s="291">
        <v>0</v>
      </c>
    </row>
    <row r="106" spans="1:12">
      <c r="B106" s="33" t="s">
        <v>236</v>
      </c>
      <c r="C106" s="29" t="s">
        <v>237</v>
      </c>
      <c r="D106" s="29" t="s">
        <v>14</v>
      </c>
      <c r="E106" s="191">
        <v>0</v>
      </c>
      <c r="F106" s="190">
        <v>-1.66E-2</v>
      </c>
      <c r="G106" s="191">
        <v>0</v>
      </c>
      <c r="H106" s="191">
        <v>0</v>
      </c>
      <c r="I106" s="190">
        <v>9.6100000000000005E-2</v>
      </c>
      <c r="J106" s="190">
        <v>2.5000000000000001E-2</v>
      </c>
      <c r="K106" s="284">
        <v>2.4799999999999999E-2</v>
      </c>
      <c r="L106" s="291">
        <v>0</v>
      </c>
    </row>
    <row r="107" spans="1:12">
      <c r="B107" s="33" t="s">
        <v>239</v>
      </c>
      <c r="C107" s="29" t="s">
        <v>241</v>
      </c>
      <c r="D107" s="29" t="s">
        <v>14</v>
      </c>
      <c r="E107" s="191">
        <v>0</v>
      </c>
      <c r="F107" s="190">
        <v>1.55E-2</v>
      </c>
      <c r="G107" s="191">
        <v>0</v>
      </c>
      <c r="H107" s="191">
        <v>0</v>
      </c>
      <c r="I107" s="190">
        <v>3.1399999999999997E-2</v>
      </c>
      <c r="J107" s="190">
        <v>-0.03</v>
      </c>
      <c r="K107" s="284">
        <v>-2.9899999999999999E-2</v>
      </c>
      <c r="L107" s="291">
        <v>0</v>
      </c>
    </row>
    <row r="108" spans="1:12">
      <c r="B108" s="32" t="s">
        <v>262</v>
      </c>
      <c r="C108" s="29"/>
      <c r="D108" s="29"/>
      <c r="E108" s="191"/>
      <c r="F108" s="191"/>
      <c r="G108" s="191"/>
      <c r="H108" s="191"/>
      <c r="I108" s="191"/>
      <c r="J108" s="191"/>
      <c r="K108" s="191"/>
      <c r="L108" s="191"/>
    </row>
    <row r="109" spans="1:12">
      <c r="B109" s="33" t="s">
        <v>267</v>
      </c>
      <c r="C109" s="33" t="s">
        <v>265</v>
      </c>
      <c r="D109" s="29" t="s">
        <v>264</v>
      </c>
      <c r="E109" s="191">
        <v>0</v>
      </c>
      <c r="F109" s="190">
        <v>8</v>
      </c>
      <c r="G109" s="191">
        <v>0</v>
      </c>
      <c r="H109" s="191">
        <v>0</v>
      </c>
      <c r="I109" s="190">
        <v>8</v>
      </c>
      <c r="J109" s="190">
        <v>8</v>
      </c>
      <c r="K109" s="190">
        <v>8</v>
      </c>
      <c r="L109" s="190">
        <v>8</v>
      </c>
    </row>
    <row r="110" spans="1:12" ht="12" customHeight="1">
      <c r="B110" s="33" t="s">
        <v>266</v>
      </c>
      <c r="C110" s="33" t="s">
        <v>263</v>
      </c>
      <c r="D110" s="29" t="s">
        <v>264</v>
      </c>
      <c r="E110" s="191">
        <v>0</v>
      </c>
      <c r="F110" s="190">
        <v>12</v>
      </c>
      <c r="G110" s="191">
        <v>0</v>
      </c>
      <c r="H110" s="191">
        <v>0</v>
      </c>
      <c r="I110" s="190">
        <v>12</v>
      </c>
      <c r="J110" s="190">
        <v>12</v>
      </c>
      <c r="K110" s="190">
        <v>12</v>
      </c>
      <c r="L110" s="190">
        <v>12</v>
      </c>
    </row>
    <row r="111" spans="1:12" ht="12" customHeight="1">
      <c r="B111" s="33" t="s">
        <v>269</v>
      </c>
      <c r="C111" s="33" t="s">
        <v>270</v>
      </c>
      <c r="D111" s="29" t="s">
        <v>264</v>
      </c>
      <c r="E111" s="191">
        <v>0</v>
      </c>
      <c r="F111" s="190">
        <v>6</v>
      </c>
      <c r="G111" s="191">
        <v>0</v>
      </c>
      <c r="H111" s="191">
        <v>0</v>
      </c>
      <c r="I111" s="190">
        <v>6</v>
      </c>
      <c r="J111" s="190">
        <v>6</v>
      </c>
      <c r="K111" s="190">
        <v>6</v>
      </c>
      <c r="L111" s="190">
        <v>6</v>
      </c>
    </row>
    <row r="112" spans="1:12" ht="12" customHeight="1">
      <c r="B112" s="33" t="s">
        <v>268</v>
      </c>
      <c r="C112" s="33" t="s">
        <v>271</v>
      </c>
      <c r="D112" s="29" t="s">
        <v>264</v>
      </c>
      <c r="E112" s="191">
        <v>0</v>
      </c>
      <c r="F112" s="190">
        <v>8</v>
      </c>
      <c r="G112" s="191">
        <v>0</v>
      </c>
      <c r="H112" s="191">
        <v>0</v>
      </c>
      <c r="I112" s="190">
        <v>8</v>
      </c>
      <c r="J112" s="190">
        <v>8</v>
      </c>
      <c r="K112" s="190">
        <v>8</v>
      </c>
      <c r="L112" s="190">
        <v>8</v>
      </c>
    </row>
    <row r="113" spans="1:12" ht="12" customHeight="1">
      <c r="B113" s="33" t="s">
        <v>273</v>
      </c>
      <c r="C113" s="33" t="s">
        <v>274</v>
      </c>
      <c r="D113" s="29" t="s">
        <v>264</v>
      </c>
      <c r="E113" s="191">
        <v>0</v>
      </c>
      <c r="F113" s="190">
        <v>2</v>
      </c>
      <c r="G113" s="191">
        <v>0</v>
      </c>
      <c r="H113" s="191">
        <v>0</v>
      </c>
      <c r="I113" s="190">
        <v>2</v>
      </c>
      <c r="J113" s="190">
        <v>2</v>
      </c>
      <c r="K113" s="190">
        <v>2</v>
      </c>
      <c r="L113" s="190">
        <v>2</v>
      </c>
    </row>
    <row r="114" spans="1:12">
      <c r="B114" s="33" t="s">
        <v>272</v>
      </c>
      <c r="C114" s="33" t="s">
        <v>275</v>
      </c>
      <c r="D114" s="29" t="s">
        <v>264</v>
      </c>
      <c r="E114" s="191">
        <v>0</v>
      </c>
      <c r="F114" s="190">
        <v>4</v>
      </c>
      <c r="G114" s="191">
        <v>0</v>
      </c>
      <c r="H114" s="191">
        <v>0</v>
      </c>
      <c r="I114" s="190">
        <v>4</v>
      </c>
      <c r="J114" s="190">
        <v>4</v>
      </c>
      <c r="K114" s="190">
        <v>4</v>
      </c>
      <c r="L114" s="190">
        <v>4</v>
      </c>
    </row>
    <row r="115" spans="1:12" ht="21.75" customHeight="1">
      <c r="A115" s="16"/>
      <c r="B115" s="28" t="s">
        <v>140</v>
      </c>
      <c r="C115" s="29"/>
      <c r="D115" s="29"/>
      <c r="E115" s="187"/>
      <c r="F115" s="187"/>
      <c r="G115" s="187"/>
      <c r="H115" s="191"/>
      <c r="I115" s="187"/>
      <c r="J115" s="187"/>
      <c r="K115" s="187"/>
      <c r="L115" s="191"/>
    </row>
    <row r="116" spans="1:12">
      <c r="A116" s="16"/>
      <c r="B116" s="33" t="s">
        <v>141</v>
      </c>
      <c r="C116" s="34" t="s">
        <v>142</v>
      </c>
      <c r="D116" s="29" t="s">
        <v>143</v>
      </c>
      <c r="E116" s="193">
        <v>-90</v>
      </c>
      <c r="F116" s="193">
        <v>-90</v>
      </c>
      <c r="G116" s="193">
        <v>-90</v>
      </c>
      <c r="H116" s="193">
        <v>-90</v>
      </c>
      <c r="I116" s="193">
        <v>-90</v>
      </c>
      <c r="J116" s="193">
        <v>-90</v>
      </c>
      <c r="K116" s="193">
        <v>-90</v>
      </c>
      <c r="L116" s="193">
        <v>-90</v>
      </c>
    </row>
    <row r="117" spans="1:12">
      <c r="A117" s="16"/>
      <c r="B117" s="33" t="s">
        <v>144</v>
      </c>
      <c r="C117" s="34" t="s">
        <v>145</v>
      </c>
      <c r="D117" s="29" t="s">
        <v>14</v>
      </c>
      <c r="E117" s="193">
        <v>0.8</v>
      </c>
      <c r="F117" s="193">
        <v>0.8</v>
      </c>
      <c r="G117" s="193">
        <v>0.8</v>
      </c>
      <c r="H117" s="193">
        <v>0.8</v>
      </c>
      <c r="I117" s="193">
        <v>0.8</v>
      </c>
      <c r="J117" s="193">
        <v>0.8</v>
      </c>
      <c r="K117" s="193">
        <v>0.8</v>
      </c>
      <c r="L117" s="193">
        <v>0.8</v>
      </c>
    </row>
    <row r="118" spans="1:12">
      <c r="A118" s="16"/>
      <c r="B118" s="33" t="s">
        <v>146</v>
      </c>
      <c r="C118" s="34" t="s">
        <v>147</v>
      </c>
      <c r="D118" s="29" t="s">
        <v>148</v>
      </c>
      <c r="E118" s="193">
        <v>24</v>
      </c>
      <c r="F118" s="193">
        <v>24</v>
      </c>
      <c r="G118" s="193">
        <v>24</v>
      </c>
      <c r="H118" s="193">
        <v>24</v>
      </c>
      <c r="I118" s="193">
        <v>24</v>
      </c>
      <c r="J118" s="193">
        <v>24</v>
      </c>
      <c r="K118" s="193">
        <v>24</v>
      </c>
      <c r="L118" s="193">
        <v>24</v>
      </c>
    </row>
    <row r="119" spans="1:12">
      <c r="A119" s="16"/>
      <c r="B119" s="33" t="s">
        <v>149</v>
      </c>
      <c r="C119" s="34" t="s">
        <v>150</v>
      </c>
      <c r="D119" s="29" t="s">
        <v>151</v>
      </c>
      <c r="E119" s="193">
        <v>2.2999999999999998</v>
      </c>
      <c r="F119" s="193">
        <v>2.2999999999999998</v>
      </c>
      <c r="G119" s="193">
        <v>2.2999999999999998</v>
      </c>
      <c r="H119" s="193">
        <v>2.2999999999999998</v>
      </c>
      <c r="I119" s="193">
        <v>2.2999999999999998</v>
      </c>
      <c r="J119" s="193">
        <v>2.2999999999999998</v>
      </c>
      <c r="K119" s="193">
        <v>2.2999999999999998</v>
      </c>
      <c r="L119" s="193">
        <v>2.2999999999999998</v>
      </c>
    </row>
    <row r="120" spans="1:12">
      <c r="A120" s="16"/>
      <c r="B120" s="33"/>
      <c r="C120" s="29"/>
      <c r="D120" s="29"/>
      <c r="E120" s="191"/>
      <c r="F120" s="191"/>
      <c r="G120" s="191"/>
      <c r="H120" s="191"/>
      <c r="I120" s="191"/>
      <c r="J120" s="191"/>
      <c r="K120" s="191"/>
      <c r="L120" s="191"/>
    </row>
    <row r="121" spans="1:12">
      <c r="H121" s="198"/>
      <c r="L121" s="198"/>
    </row>
    <row r="122" spans="1:12">
      <c r="B122" s="35"/>
      <c r="C122" s="35"/>
      <c r="D122" s="35"/>
      <c r="E122" s="200"/>
      <c r="F122" s="200"/>
      <c r="G122" s="200"/>
      <c r="H122" s="201"/>
      <c r="L122" s="201"/>
    </row>
    <row r="123" spans="1:12" ht="23.25">
      <c r="B123" s="36" t="s">
        <v>152</v>
      </c>
      <c r="C123" s="37"/>
      <c r="D123" s="37"/>
      <c r="E123" s="202"/>
      <c r="F123" s="202"/>
      <c r="G123" s="202"/>
      <c r="H123" s="203"/>
      <c r="L123" s="203"/>
    </row>
    <row r="124" spans="1:12">
      <c r="B124" s="37"/>
      <c r="C124" s="38"/>
      <c r="D124" s="39"/>
      <c r="E124" s="202"/>
      <c r="F124" s="202"/>
      <c r="G124" s="202"/>
      <c r="H124" s="203"/>
      <c r="L124" s="203"/>
    </row>
    <row r="125" spans="1:12">
      <c r="B125" s="40" t="s">
        <v>157</v>
      </c>
      <c r="C125" s="41" t="s">
        <v>153</v>
      </c>
      <c r="D125" s="39"/>
      <c r="E125" s="202"/>
      <c r="F125" s="202"/>
      <c r="G125" s="202"/>
      <c r="H125" s="203"/>
      <c r="L125" s="203"/>
    </row>
    <row r="126" spans="1:12">
      <c r="B126" s="40" t="s">
        <v>158</v>
      </c>
      <c r="C126" s="129" t="s">
        <v>243</v>
      </c>
      <c r="D126" s="39"/>
      <c r="E126" s="202"/>
      <c r="F126" s="202"/>
      <c r="G126" s="202"/>
      <c r="H126" s="203"/>
      <c r="L126" s="203"/>
    </row>
    <row r="127" spans="1:12">
      <c r="B127" s="42" t="s">
        <v>159</v>
      </c>
      <c r="C127" s="41" t="s">
        <v>154</v>
      </c>
      <c r="D127" s="39"/>
      <c r="E127" s="202"/>
      <c r="F127" s="202"/>
      <c r="G127" s="202"/>
      <c r="H127" s="203"/>
      <c r="L127" s="203"/>
    </row>
    <row r="128" spans="1:12">
      <c r="B128" s="42" t="s">
        <v>160</v>
      </c>
      <c r="C128" s="118"/>
      <c r="D128" s="38"/>
      <c r="E128" s="204"/>
      <c r="F128" s="204"/>
      <c r="G128" s="204"/>
      <c r="H128" s="203"/>
      <c r="L128" s="203"/>
    </row>
    <row r="129" spans="2:12">
      <c r="B129" s="42"/>
      <c r="C129" s="41"/>
      <c r="D129" s="39"/>
      <c r="E129" s="202"/>
      <c r="F129" s="202"/>
      <c r="G129" s="202"/>
      <c r="H129" s="203"/>
      <c r="L129" s="203"/>
    </row>
  </sheetData>
  <phoneticPr fontId="14" type="noConversion"/>
  <pageMargins left="0.19" right="0.24" top="0.25" bottom="0.64" header="0.25" footer="0.14000000000000001"/>
  <pageSetup paperSize="9" scale="65" fitToHeight="2" orientation="portrait" blackAndWhite="1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5D35-F0D9-4BFB-9C48-3396FBA3903D}">
  <sheetPr codeName="Sheet48"/>
  <dimension ref="A1:BF347"/>
  <sheetViews>
    <sheetView tabSelected="1" workbookViewId="0">
      <selection activeCell="H18" sqref="H18"/>
    </sheetView>
  </sheetViews>
  <sheetFormatPr defaultColWidth="8" defaultRowHeight="12.75" customHeight="1"/>
  <cols>
    <col min="1" max="1" width="15.85546875" customWidth="1"/>
    <col min="2" max="2" width="10.28515625" customWidth="1"/>
    <col min="3" max="3" width="9.5703125" customWidth="1"/>
    <col min="4" max="4" width="8.7109375" customWidth="1"/>
    <col min="5" max="5" width="11.140625" customWidth="1"/>
    <col min="6" max="6" width="12.42578125" customWidth="1"/>
    <col min="7" max="7" width="11.140625" customWidth="1"/>
    <col min="8" max="8" width="13.42578125" customWidth="1"/>
    <col min="9" max="9" width="14.28515625" customWidth="1"/>
    <col min="10" max="10" width="12.42578125" customWidth="1"/>
    <col min="11" max="11" width="11.42578125" style="121" customWidth="1"/>
    <col min="12" max="12" width="13.42578125" customWidth="1"/>
    <col min="13" max="13" width="11.7109375" customWidth="1"/>
    <col min="14" max="14" width="11.28515625" style="120" customWidth="1"/>
    <col min="15" max="15" width="14.5703125" style="121" customWidth="1"/>
    <col min="16" max="16" width="10.7109375" customWidth="1"/>
    <col min="17" max="17" width="10.42578125" customWidth="1"/>
    <col min="18" max="23" width="8.7109375" customWidth="1"/>
    <col min="24" max="24" width="12.5703125" customWidth="1"/>
    <col min="25" max="25" width="8.85546875" customWidth="1"/>
    <col min="27" max="27" width="11.28515625" customWidth="1"/>
    <col min="28" max="28" width="10" customWidth="1"/>
    <col min="35" max="35" width="8.85546875" customWidth="1"/>
    <col min="36" max="36" width="10.140625" customWidth="1"/>
    <col min="39" max="39" width="10.5703125" customWidth="1"/>
    <col min="49" max="49" width="12.42578125" bestFit="1" customWidth="1"/>
  </cols>
  <sheetData>
    <row r="1" spans="1:58" ht="13.5" thickBot="1">
      <c r="L1" s="54"/>
      <c r="M1" s="54"/>
      <c r="W1" s="53" t="s">
        <v>385</v>
      </c>
      <c r="AK1" s="53"/>
      <c r="AW1" s="57"/>
      <c r="AX1" s="57"/>
      <c r="AY1" s="57"/>
      <c r="AZ1" s="57"/>
      <c r="BA1" s="57"/>
    </row>
    <row r="2" spans="1:58" ht="21.75" customHeight="1" thickBot="1">
      <c r="A2" s="55" t="s">
        <v>177</v>
      </c>
      <c r="B2" s="56" t="s">
        <v>178</v>
      </c>
      <c r="C2" s="57"/>
      <c r="E2" s="58" t="s">
        <v>179</v>
      </c>
      <c r="F2" s="59"/>
      <c r="G2" s="60"/>
      <c r="H2" s="61"/>
      <c r="I2" s="59"/>
      <c r="J2" s="62"/>
      <c r="K2" s="156" t="s">
        <v>180</v>
      </c>
      <c r="L2" s="63"/>
      <c r="M2" s="64"/>
      <c r="N2" s="130"/>
      <c r="O2" s="144"/>
      <c r="Q2" s="175" t="s">
        <v>256</v>
      </c>
      <c r="R2" s="166"/>
      <c r="S2" s="166"/>
      <c r="T2" s="176"/>
      <c r="U2" s="177" t="s">
        <v>278</v>
      </c>
      <c r="W2" s="292" t="s">
        <v>386</v>
      </c>
      <c r="X2" s="293" t="s">
        <v>369</v>
      </c>
      <c r="Y2" s="294">
        <v>5.1000000000000004E-3</v>
      </c>
      <c r="AR2" s="160"/>
      <c r="AV2" s="165" t="s">
        <v>253</v>
      </c>
      <c r="AW2" s="166"/>
      <c r="AX2" s="166"/>
      <c r="AY2" s="167"/>
      <c r="AZ2" s="57"/>
      <c r="BA2" s="57"/>
      <c r="BD2" s="316" t="s">
        <v>307</v>
      </c>
      <c r="BE2" s="317"/>
    </row>
    <row r="3" spans="1:58" s="57" customFormat="1" ht="15.75">
      <c r="A3" s="65" t="s">
        <v>181</v>
      </c>
      <c r="B3" s="53" t="s">
        <v>357</v>
      </c>
      <c r="C3" s="66"/>
      <c r="E3" s="214"/>
      <c r="F3" s="67" t="s">
        <v>182</v>
      </c>
      <c r="G3" s="215" t="s">
        <v>387</v>
      </c>
      <c r="H3" s="68"/>
      <c r="I3" s="67" t="s">
        <v>183</v>
      </c>
      <c r="J3" s="314">
        <v>43.141599999999997</v>
      </c>
      <c r="K3" s="157"/>
      <c r="L3" s="70" t="s">
        <v>184</v>
      </c>
      <c r="M3" s="71"/>
      <c r="N3" s="131"/>
      <c r="O3" s="145"/>
      <c r="Q3" s="173" t="s">
        <v>276</v>
      </c>
      <c r="R3" s="174"/>
      <c r="S3" s="312">
        <v>3</v>
      </c>
      <c r="T3" s="178" t="s">
        <v>259</v>
      </c>
      <c r="U3" s="258">
        <f>+Y11*(S4^Y12)*(S5^Y13)*S6/1000</f>
        <v>0.60493746989030739</v>
      </c>
      <c r="V3"/>
      <c r="W3" s="295"/>
      <c r="X3" s="296" t="s">
        <v>370</v>
      </c>
      <c r="Y3" s="297">
        <v>1.0697000000000001</v>
      </c>
      <c r="AV3" s="168"/>
      <c r="AW3" s="164"/>
      <c r="AX3" s="164"/>
      <c r="AY3" s="169"/>
      <c r="BB3"/>
      <c r="BD3" s="235" t="s">
        <v>254</v>
      </c>
      <c r="BE3" s="247">
        <v>1.1272458903924101</v>
      </c>
    </row>
    <row r="4" spans="1:58" s="66" customFormat="1" ht="15" customHeight="1">
      <c r="A4" s="65" t="s">
        <v>185</v>
      </c>
      <c r="B4" s="318" t="s">
        <v>353</v>
      </c>
      <c r="C4" s="318"/>
      <c r="E4" s="214"/>
      <c r="F4" s="67" t="s">
        <v>186</v>
      </c>
      <c r="G4" s="265">
        <v>3</v>
      </c>
      <c r="H4" s="216"/>
      <c r="I4" s="67" t="s">
        <v>187</v>
      </c>
      <c r="J4" s="268">
        <v>0.5</v>
      </c>
      <c r="K4" s="157"/>
      <c r="L4" s="183"/>
      <c r="M4" s="182"/>
      <c r="N4" s="132"/>
      <c r="O4" s="145"/>
      <c r="Q4" s="173" t="s">
        <v>257</v>
      </c>
      <c r="R4" s="174"/>
      <c r="S4" s="312">
        <v>3.090741279</v>
      </c>
      <c r="T4" s="178" t="s">
        <v>260</v>
      </c>
      <c r="U4" s="258">
        <f>+(U3+U5)/3</f>
        <v>1.2174186770514497</v>
      </c>
      <c r="V4"/>
      <c r="W4" s="295"/>
      <c r="X4" s="296" t="s">
        <v>371</v>
      </c>
      <c r="Y4" s="297">
        <v>2.2747999999999999</v>
      </c>
      <c r="AV4" s="173" t="s">
        <v>252</v>
      </c>
      <c r="AW4" s="174"/>
      <c r="AX4" s="280">
        <v>25</v>
      </c>
      <c r="AY4" s="169"/>
      <c r="AZ4" s="57"/>
      <c r="BA4" s="57"/>
      <c r="BB4"/>
      <c r="BD4" s="245" t="s">
        <v>306</v>
      </c>
      <c r="BE4" s="247">
        <v>14.914428513714499</v>
      </c>
    </row>
    <row r="5" spans="1:58" s="74" customFormat="1" ht="15.75">
      <c r="A5" s="65" t="s">
        <v>188</v>
      </c>
      <c r="B5" s="53" t="s">
        <v>354</v>
      </c>
      <c r="E5" s="214"/>
      <c r="F5" s="67" t="s">
        <v>189</v>
      </c>
      <c r="G5" s="215" t="s">
        <v>359</v>
      </c>
      <c r="H5" s="217"/>
      <c r="I5" s="67" t="s">
        <v>190</v>
      </c>
      <c r="J5" s="269" t="s">
        <v>345</v>
      </c>
      <c r="K5" s="157"/>
      <c r="L5" s="183"/>
      <c r="M5" s="73"/>
      <c r="N5" s="131"/>
      <c r="O5" s="145"/>
      <c r="Q5" s="173" t="s">
        <v>288</v>
      </c>
      <c r="R5" s="174"/>
      <c r="S5" s="280">
        <v>4.6755813951</v>
      </c>
      <c r="T5" s="178" t="s">
        <v>261</v>
      </c>
      <c r="U5" s="258">
        <f>+(Y8*(S4^Y9)*(S5^Y10) + Y5*(S4^Y6)*(S5^Y7) + Y2*(S4^Y3)*(S5^Y4)  )*S6/1000</f>
        <v>3.0473185612640417</v>
      </c>
      <c r="V5"/>
      <c r="W5" s="298" t="s">
        <v>372</v>
      </c>
      <c r="X5" s="299" t="s">
        <v>373</v>
      </c>
      <c r="Y5" s="300">
        <v>8.9999999999999998E-4</v>
      </c>
      <c r="AV5" s="173"/>
      <c r="AW5" s="174"/>
      <c r="AX5" s="174"/>
      <c r="AY5" s="169"/>
      <c r="AZ5" s="57"/>
      <c r="BA5" s="57"/>
      <c r="BB5"/>
      <c r="BD5" s="245" t="s">
        <v>304</v>
      </c>
      <c r="BE5" s="247">
        <v>-0.12769431611329399</v>
      </c>
    </row>
    <row r="6" spans="1:58" s="75" customFormat="1" ht="16.5" thickBot="1">
      <c r="A6" s="65" t="s">
        <v>191</v>
      </c>
      <c r="B6" s="53" t="s">
        <v>389</v>
      </c>
      <c r="E6" s="214"/>
      <c r="F6" s="67" t="s">
        <v>192</v>
      </c>
      <c r="G6" s="215">
        <v>27</v>
      </c>
      <c r="H6" s="218"/>
      <c r="I6" s="67" t="s">
        <v>193</v>
      </c>
      <c r="J6" s="266">
        <v>200</v>
      </c>
      <c r="K6" s="157"/>
      <c r="L6" s="76"/>
      <c r="M6" s="77"/>
      <c r="N6" s="132"/>
      <c r="O6" s="145"/>
      <c r="Q6" s="173" t="s">
        <v>258</v>
      </c>
      <c r="R6" s="174"/>
      <c r="S6" s="313">
        <v>3398.72</v>
      </c>
      <c r="T6" s="180"/>
      <c r="U6" s="169"/>
      <c r="V6"/>
      <c r="W6" s="301"/>
      <c r="X6" s="302" t="s">
        <v>374</v>
      </c>
      <c r="Y6" s="303">
        <v>1.3061</v>
      </c>
      <c r="AV6" s="173" t="s">
        <v>255</v>
      </c>
      <c r="AW6" s="174"/>
      <c r="AX6" s="244">
        <f>+$BE$3/(1 +$BE$4*EXP($BE$5*AX4))</f>
        <v>0.69902007576835667</v>
      </c>
      <c r="AY6" s="169"/>
      <c r="AZ6" s="57"/>
      <c r="BA6" s="57"/>
      <c r="BB6"/>
      <c r="BD6" s="246"/>
      <c r="BE6" s="248"/>
    </row>
    <row r="7" spans="1:58" s="78" customFormat="1" ht="15.75" thickBot="1">
      <c r="A7" s="65" t="s">
        <v>194</v>
      </c>
      <c r="B7" s="228" t="s">
        <v>353</v>
      </c>
      <c r="E7" s="219"/>
      <c r="F7" s="67" t="s">
        <v>195</v>
      </c>
      <c r="G7" s="223">
        <v>1.6648244824085334E-2</v>
      </c>
      <c r="H7" s="220"/>
      <c r="I7" s="67" t="s">
        <v>196</v>
      </c>
      <c r="J7" s="267">
        <v>0</v>
      </c>
      <c r="K7" s="157"/>
      <c r="L7" s="79"/>
      <c r="M7" s="79"/>
      <c r="N7" s="133"/>
      <c r="O7" s="145"/>
      <c r="Q7" s="184"/>
      <c r="R7" s="171"/>
      <c r="S7" s="171"/>
      <c r="T7" s="179"/>
      <c r="U7" s="172"/>
      <c r="V7"/>
      <c r="W7" s="304"/>
      <c r="X7" s="305" t="s">
        <v>375</v>
      </c>
      <c r="Y7" s="306">
        <v>2.0108999999999999</v>
      </c>
      <c r="AV7" s="170"/>
      <c r="AW7" s="171"/>
      <c r="AX7" s="171"/>
      <c r="AY7" s="172"/>
      <c r="AZ7" s="57"/>
      <c r="BA7" s="57"/>
      <c r="BB7"/>
      <c r="BD7"/>
      <c r="BE7"/>
      <c r="BF7"/>
    </row>
    <row r="8" spans="1:58" ht="15.75">
      <c r="E8" s="214"/>
      <c r="F8" s="67" t="s">
        <v>197</v>
      </c>
      <c r="G8" s="223">
        <v>1.6738369923747044E-2</v>
      </c>
      <c r="H8" s="221"/>
      <c r="I8" s="67" t="s">
        <v>198</v>
      </c>
      <c r="J8" s="285">
        <v>410</v>
      </c>
      <c r="K8" s="156" t="s">
        <v>199</v>
      </c>
      <c r="L8" s="80"/>
      <c r="M8" s="81"/>
      <c r="N8" s="134"/>
      <c r="O8" s="146"/>
      <c r="W8" s="235" t="s">
        <v>376</v>
      </c>
      <c r="X8" s="307" t="s">
        <v>377</v>
      </c>
      <c r="Y8" s="308">
        <v>1.3100000000000001E-2</v>
      </c>
      <c r="AW8" s="57"/>
      <c r="AX8" s="57"/>
      <c r="AY8" s="57"/>
      <c r="AZ8" s="57"/>
      <c r="BA8" s="57"/>
    </row>
    <row r="9" spans="1:58" ht="15.75">
      <c r="E9" s="219"/>
      <c r="F9" s="67" t="s">
        <v>200</v>
      </c>
      <c r="G9" s="223">
        <v>3.3566864947155793E-2</v>
      </c>
      <c r="H9" s="221"/>
      <c r="I9" s="67" t="s">
        <v>325</v>
      </c>
      <c r="J9" s="267">
        <v>0</v>
      </c>
      <c r="K9" s="82"/>
      <c r="L9" s="82"/>
      <c r="M9" s="82"/>
      <c r="N9" s="135"/>
      <c r="O9" s="147"/>
      <c r="W9" s="235"/>
      <c r="X9" s="307" t="s">
        <v>378</v>
      </c>
      <c r="Y9" s="308">
        <v>2.5760000000000001</v>
      </c>
      <c r="AW9" s="57"/>
      <c r="AX9" s="57"/>
      <c r="AY9" s="57"/>
      <c r="AZ9" s="57"/>
      <c r="BA9" s="57"/>
    </row>
    <row r="10" spans="1:58" s="83" customFormat="1" ht="15.75">
      <c r="E10" s="214"/>
      <c r="F10" s="67" t="s">
        <v>201</v>
      </c>
      <c r="G10" s="224">
        <v>1378.26</v>
      </c>
      <c r="H10" s="222"/>
      <c r="I10" s="67" t="s">
        <v>324</v>
      </c>
      <c r="J10" s="267">
        <v>0</v>
      </c>
      <c r="K10" s="84"/>
      <c r="L10" s="84"/>
      <c r="M10" s="84"/>
      <c r="N10" s="136"/>
      <c r="O10" s="148"/>
      <c r="P10"/>
      <c r="U10"/>
      <c r="V10"/>
      <c r="W10" s="295"/>
      <c r="X10" s="296" t="s">
        <v>379</v>
      </c>
      <c r="Y10" s="297">
        <v>0</v>
      </c>
      <c r="AJ10"/>
      <c r="AN10"/>
    </row>
    <row r="11" spans="1:58" s="83" customFormat="1" ht="15.75">
      <c r="E11" s="214"/>
      <c r="F11" s="67" t="s">
        <v>202</v>
      </c>
      <c r="G11" s="265">
        <v>200</v>
      </c>
      <c r="H11" s="222"/>
      <c r="I11" s="67" t="s">
        <v>340</v>
      </c>
      <c r="J11" s="290" t="s">
        <v>343</v>
      </c>
      <c r="K11" s="85"/>
      <c r="L11" s="85"/>
      <c r="M11" s="85"/>
      <c r="N11" s="85"/>
      <c r="O11" s="159"/>
      <c r="P11"/>
      <c r="U11"/>
      <c r="V11"/>
      <c r="W11" s="295" t="s">
        <v>380</v>
      </c>
      <c r="X11" s="296" t="s">
        <v>381</v>
      </c>
      <c r="Y11" s="297">
        <v>2.24E-2</v>
      </c>
      <c r="AJ11"/>
      <c r="AN11"/>
    </row>
    <row r="12" spans="1:58" s="57" customFormat="1" ht="15">
      <c r="E12" s="86"/>
      <c r="F12" s="67"/>
      <c r="G12" s="72"/>
      <c r="H12" s="68"/>
      <c r="I12" s="67" t="s">
        <v>341</v>
      </c>
      <c r="J12" s="267">
        <v>50</v>
      </c>
      <c r="K12" s="85"/>
      <c r="L12" s="85"/>
      <c r="M12" s="85"/>
      <c r="N12" s="85"/>
      <c r="O12" s="159"/>
      <c r="P12"/>
      <c r="U12"/>
      <c r="V12"/>
      <c r="W12" s="295"/>
      <c r="X12" s="296" t="s">
        <v>382</v>
      </c>
      <c r="Y12" s="297">
        <v>1.8368</v>
      </c>
      <c r="AJ12"/>
      <c r="AN12"/>
    </row>
    <row r="13" spans="1:58" s="57" customFormat="1" ht="15.75" thickBot="1">
      <c r="E13" s="86"/>
      <c r="F13" s="67"/>
      <c r="G13" s="72"/>
      <c r="H13" s="68"/>
      <c r="I13" s="67" t="s">
        <v>342</v>
      </c>
      <c r="J13" s="267">
        <v>10</v>
      </c>
      <c r="K13" s="85"/>
      <c r="L13" s="85"/>
      <c r="M13" s="85"/>
      <c r="N13" s="85"/>
      <c r="O13" s="159"/>
      <c r="P13"/>
      <c r="U13"/>
      <c r="V13"/>
      <c r="W13" s="309"/>
      <c r="X13" s="310" t="s">
        <v>383</v>
      </c>
      <c r="Y13" s="311">
        <v>0</v>
      </c>
      <c r="AJ13"/>
      <c r="AN13"/>
    </row>
    <row r="14" spans="1:58" s="57" customFormat="1">
      <c r="E14" s="86"/>
      <c r="F14" s="67"/>
      <c r="G14" s="72"/>
      <c r="H14" s="68"/>
      <c r="I14" s="67"/>
      <c r="J14" s="69"/>
      <c r="K14" s="157"/>
      <c r="L14" s="85"/>
      <c r="M14" s="85"/>
      <c r="N14" s="137"/>
      <c r="O14" s="149"/>
      <c r="P14"/>
      <c r="V14"/>
      <c r="AB14" s="87"/>
    </row>
    <row r="15" spans="1:58" s="57" customFormat="1" ht="15.75" thickBot="1">
      <c r="E15" s="88"/>
      <c r="F15" s="89"/>
      <c r="G15" s="89"/>
      <c r="H15" s="90"/>
      <c r="I15" s="89"/>
      <c r="J15" s="158"/>
      <c r="K15" s="163"/>
      <c r="L15" s="91"/>
      <c r="M15" s="91"/>
      <c r="N15" s="138"/>
      <c r="O15" s="150"/>
      <c r="P15"/>
      <c r="V15"/>
      <c r="AB15" s="87"/>
      <c r="AD15"/>
      <c r="AE15"/>
      <c r="AF15"/>
      <c r="AG15"/>
    </row>
    <row r="16" spans="1:58" s="57" customFormat="1" ht="15.75">
      <c r="E16" s="92"/>
      <c r="F16" s="93" t="s">
        <v>203</v>
      </c>
      <c r="G16" s="94"/>
      <c r="H16" s="95"/>
      <c r="I16" s="94"/>
      <c r="J16" s="96"/>
      <c r="K16" s="124"/>
      <c r="L16" s="97"/>
      <c r="M16" s="97"/>
      <c r="N16" s="139"/>
      <c r="O16" s="151"/>
      <c r="P16"/>
      <c r="V16"/>
      <c r="AB16" s="87"/>
      <c r="AD16"/>
      <c r="AE16"/>
      <c r="AF16"/>
      <c r="AG16"/>
    </row>
    <row r="17" spans="1:37" s="57" customFormat="1">
      <c r="E17" s="98"/>
      <c r="F17" s="94"/>
      <c r="G17" s="99" t="s">
        <v>204</v>
      </c>
      <c r="H17" s="100" t="s">
        <v>390</v>
      </c>
      <c r="I17" s="101"/>
      <c r="J17" s="226"/>
      <c r="K17" s="124"/>
      <c r="L17" s="225"/>
      <c r="M17" s="225"/>
      <c r="N17" s="140"/>
      <c r="O17" s="227"/>
      <c r="P17"/>
      <c r="V17"/>
      <c r="AB17" s="87"/>
      <c r="AD17"/>
      <c r="AE17"/>
      <c r="AF17"/>
      <c r="AG17"/>
    </row>
    <row r="18" spans="1:37" s="57" customFormat="1">
      <c r="E18" s="98"/>
      <c r="F18" s="94"/>
      <c r="G18" s="99" t="s">
        <v>205</v>
      </c>
      <c r="H18" s="100" t="s">
        <v>388</v>
      </c>
      <c r="I18" s="101"/>
      <c r="J18" s="100"/>
      <c r="K18" s="125"/>
      <c r="L18" s="94"/>
      <c r="M18" s="94"/>
      <c r="N18" s="140"/>
      <c r="O18" s="152"/>
      <c r="P18"/>
      <c r="V18"/>
      <c r="AE18"/>
      <c r="AF18"/>
      <c r="AG18"/>
    </row>
    <row r="19" spans="1:37" s="102" customFormat="1" ht="15">
      <c r="E19" s="98"/>
      <c r="F19" s="94"/>
      <c r="G19" s="99" t="s">
        <v>206</v>
      </c>
      <c r="H19" s="100"/>
      <c r="I19" s="100"/>
      <c r="J19" s="101"/>
      <c r="K19" s="125"/>
      <c r="L19" s="94"/>
      <c r="M19" s="94"/>
      <c r="N19" s="140"/>
      <c r="O19" s="152"/>
      <c r="P19"/>
      <c r="Q19" s="57"/>
      <c r="R19" s="57"/>
      <c r="S19" s="57"/>
      <c r="T19" s="57"/>
      <c r="U19" s="57"/>
      <c r="V19"/>
      <c r="AD19" s="57"/>
      <c r="AE19"/>
      <c r="AF19"/>
      <c r="AG19"/>
    </row>
    <row r="20" spans="1:37" s="57" customFormat="1">
      <c r="E20" s="98"/>
      <c r="F20" s="94"/>
      <c r="G20" s="99" t="s">
        <v>207</v>
      </c>
      <c r="H20" s="100"/>
      <c r="I20" s="100"/>
      <c r="J20" s="101"/>
      <c r="K20" s="125"/>
      <c r="L20" s="94"/>
      <c r="M20" s="94"/>
      <c r="N20" s="141"/>
      <c r="O20" s="153"/>
      <c r="P20"/>
      <c r="V20"/>
      <c r="AE20"/>
      <c r="AF20"/>
      <c r="AG20"/>
    </row>
    <row r="21" spans="1:37" s="57" customFormat="1" ht="13.5" thickBot="1">
      <c r="E21" s="103"/>
      <c r="F21" s="104"/>
      <c r="G21" s="105"/>
      <c r="H21" s="106"/>
      <c r="I21" s="104"/>
      <c r="J21" s="104"/>
      <c r="K21" s="126"/>
      <c r="L21" s="104"/>
      <c r="M21" s="104"/>
      <c r="N21" s="142"/>
      <c r="O21" s="154"/>
      <c r="P21"/>
      <c r="V21"/>
      <c r="AE21"/>
      <c r="AF21"/>
      <c r="AG21"/>
    </row>
    <row r="22" spans="1:37" s="57" customFormat="1">
      <c r="K22" s="123"/>
      <c r="N22" s="143"/>
      <c r="O22" s="123"/>
      <c r="V22"/>
      <c r="AE22"/>
      <c r="AF22"/>
      <c r="AG22"/>
    </row>
    <row r="23" spans="1:37" ht="15.75">
      <c r="E23" s="108"/>
      <c r="F23" s="254"/>
      <c r="G23" s="254"/>
      <c r="H23" s="242"/>
      <c r="J23" s="181"/>
      <c r="K23"/>
      <c r="N23" s="53"/>
      <c r="O23" s="181"/>
      <c r="P23" s="83"/>
      <c r="Q23" s="83"/>
      <c r="R23" s="83"/>
      <c r="AD23" s="57"/>
    </row>
    <row r="24" spans="1:37" ht="15">
      <c r="E24" s="108"/>
      <c r="F24" s="254"/>
      <c r="G24" s="253"/>
      <c r="H24" s="256"/>
      <c r="J24" s="254"/>
      <c r="K24"/>
      <c r="L24" s="160"/>
      <c r="N24"/>
      <c r="O24" s="254"/>
      <c r="P24" s="108"/>
      <c r="Q24" s="108"/>
      <c r="R24" s="108"/>
      <c r="S24" s="108"/>
      <c r="X24" s="107"/>
      <c r="Y24" s="107"/>
      <c r="Z24" s="107"/>
      <c r="AD24" s="57"/>
    </row>
    <row r="25" spans="1:37" ht="15">
      <c r="H25" s="108"/>
      <c r="I25" s="108"/>
      <c r="J25" s="161"/>
      <c r="K25" s="254"/>
      <c r="L25" s="100"/>
      <c r="N25" s="254"/>
      <c r="O25" s="254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D25" s="57"/>
    </row>
    <row r="26" spans="1:37" s="108" customFormat="1" ht="15">
      <c r="K26" s="259"/>
      <c r="L26" s="254"/>
      <c r="M26" s="254"/>
      <c r="N26" s="254"/>
      <c r="O26" s="122"/>
      <c r="AB26"/>
      <c r="AC26"/>
      <c r="AD26" s="57"/>
      <c r="AE26"/>
      <c r="AF26"/>
      <c r="AG26"/>
    </row>
    <row r="27" spans="1:37" s="108" customFormat="1" ht="15">
      <c r="A27" s="228" t="s">
        <v>339</v>
      </c>
      <c r="C27" s="110"/>
      <c r="K27" s="254"/>
      <c r="L27" s="254"/>
      <c r="M27" s="254"/>
      <c r="N27" s="254"/>
      <c r="O27" s="122"/>
      <c r="S27" s="109"/>
      <c r="U27" s="110"/>
      <c r="AC27"/>
      <c r="AD27" s="57"/>
      <c r="AE27"/>
      <c r="AF27"/>
      <c r="AG27"/>
    </row>
    <row r="28" spans="1:37" s="108" customFormat="1" ht="15.75">
      <c r="A28" s="111" t="s">
        <v>358</v>
      </c>
      <c r="K28" s="254"/>
      <c r="L28" s="254"/>
      <c r="M28" s="254"/>
      <c r="N28" s="254"/>
      <c r="O28" s="122"/>
      <c r="S28" s="111"/>
      <c r="T28"/>
      <c r="U28"/>
      <c r="V28"/>
      <c r="W28"/>
      <c r="AB28" s="54"/>
      <c r="AC28"/>
      <c r="AD28" s="57"/>
      <c r="AE28"/>
      <c r="AF28"/>
      <c r="AG28"/>
    </row>
    <row r="29" spans="1:37" s="108" customFormat="1" ht="15">
      <c r="A29" s="107" t="s">
        <v>353</v>
      </c>
      <c r="B29" s="107"/>
      <c r="C29" s="107"/>
      <c r="D29" s="107"/>
      <c r="E29" s="107"/>
      <c r="F29" s="107"/>
      <c r="G29" s="107"/>
      <c r="H29" s="107"/>
      <c r="I29" s="107"/>
      <c r="J29" s="107"/>
      <c r="K29" s="254"/>
      <c r="L29" s="254"/>
      <c r="M29" s="254"/>
      <c r="N29" s="254"/>
      <c r="O29" s="155"/>
      <c r="U29" s="112"/>
      <c r="V29" s="107"/>
      <c r="W29" s="107"/>
      <c r="X29" s="107"/>
      <c r="AD29" s="57"/>
      <c r="AE29"/>
      <c r="AF29"/>
      <c r="AG29"/>
    </row>
    <row r="30" spans="1:37" s="108" customFormat="1" ht="38.25">
      <c r="A30" s="107" t="s">
        <v>208</v>
      </c>
      <c r="B30" s="107" t="s">
        <v>209</v>
      </c>
      <c r="C30" s="107" t="s">
        <v>210</v>
      </c>
      <c r="D30" s="107" t="s">
        <v>298</v>
      </c>
      <c r="E30" s="107" t="s">
        <v>343</v>
      </c>
      <c r="F30" s="107" t="s">
        <v>211</v>
      </c>
      <c r="G30" s="107" t="s">
        <v>337</v>
      </c>
      <c r="H30" s="107" t="s">
        <v>246</v>
      </c>
      <c r="I30" s="107" t="s">
        <v>245</v>
      </c>
      <c r="J30" s="107" t="s">
        <v>247</v>
      </c>
      <c r="K30" s="107" t="s">
        <v>300</v>
      </c>
      <c r="L30" s="255" t="s">
        <v>301</v>
      </c>
      <c r="M30" s="255" t="s">
        <v>329</v>
      </c>
      <c r="N30" s="107" t="s">
        <v>327</v>
      </c>
      <c r="O30" s="229" t="s">
        <v>328</v>
      </c>
      <c r="P30" s="107" t="s">
        <v>330</v>
      </c>
      <c r="Q30" s="107" t="s">
        <v>331</v>
      </c>
      <c r="R30" s="107" t="s">
        <v>332</v>
      </c>
      <c r="S30" s="107" t="s">
        <v>333</v>
      </c>
      <c r="T30" s="107" t="s">
        <v>347</v>
      </c>
      <c r="U30" s="107" t="s">
        <v>348</v>
      </c>
      <c r="V30" s="107" t="s">
        <v>349</v>
      </c>
      <c r="W30" s="107" t="s">
        <v>303</v>
      </c>
      <c r="X30" s="107" t="s">
        <v>363</v>
      </c>
      <c r="Y30" s="107" t="s">
        <v>364</v>
      </c>
      <c r="Z30" s="107" t="s">
        <v>365</v>
      </c>
      <c r="AA30" s="107"/>
      <c r="AB30" s="107"/>
      <c r="AC30" s="107"/>
      <c r="AD30" s="281"/>
      <c r="AE30" s="107"/>
      <c r="AF30" s="107"/>
      <c r="AG30" s="107"/>
      <c r="AH30" s="107"/>
      <c r="AI30" s="107"/>
      <c r="AJ30" s="107"/>
      <c r="AK30" s="107"/>
    </row>
    <row r="31" spans="1:37" s="108" customFormat="1" ht="15">
      <c r="A31" s="113" t="s">
        <v>346</v>
      </c>
      <c r="B31" s="127">
        <v>3</v>
      </c>
      <c r="C31" s="127">
        <v>1378.26</v>
      </c>
      <c r="D31" s="162">
        <v>1.8524351315308482E-2</v>
      </c>
      <c r="E31" s="162">
        <v>0.42908750610353757</v>
      </c>
      <c r="F31" s="162">
        <v>1.9909594636601498</v>
      </c>
      <c r="G31" s="162"/>
      <c r="H31" s="162">
        <v>3.35668649471558E-2</v>
      </c>
      <c r="I31" s="162">
        <v>1.66482448240853E-2</v>
      </c>
      <c r="J31" s="128">
        <v>2.0082389227528273E-2</v>
      </c>
      <c r="K31" s="260"/>
      <c r="L31" s="260"/>
      <c r="M31" s="260">
        <v>200</v>
      </c>
      <c r="N31" s="257"/>
      <c r="O31" s="122"/>
      <c r="P31" s="122"/>
      <c r="Q31" s="128"/>
      <c r="R31" s="128"/>
      <c r="S31" s="128"/>
      <c r="T31"/>
      <c r="U31"/>
      <c r="V31"/>
      <c r="W31">
        <v>1.6539599388668287E-2</v>
      </c>
      <c r="X31"/>
      <c r="AD31" s="57"/>
      <c r="AE31"/>
      <c r="AF31"/>
      <c r="AG31"/>
    </row>
    <row r="32" spans="1:37" s="108" customFormat="1" ht="15">
      <c r="A32" s="113" t="s">
        <v>391</v>
      </c>
      <c r="B32" s="127">
        <v>26.999999999999886</v>
      </c>
      <c r="C32" s="127">
        <v>1244.9530660216326</v>
      </c>
      <c r="D32" s="162">
        <v>239.19904581232723</v>
      </c>
      <c r="E32" s="162">
        <v>28.752125784067275</v>
      </c>
      <c r="F32" s="162">
        <v>17.14800295165379</v>
      </c>
      <c r="G32" s="162">
        <v>20.744691729480458</v>
      </c>
      <c r="H32" s="162">
        <v>117.64465231000011</v>
      </c>
      <c r="I32" s="162">
        <v>1.9294798276057023E-2</v>
      </c>
      <c r="J32" s="128">
        <v>2.3072139849078694</v>
      </c>
      <c r="K32" s="260">
        <v>117.6639497488281</v>
      </c>
      <c r="L32" s="260">
        <v>275.68754353858822</v>
      </c>
      <c r="M32" s="260">
        <v>200</v>
      </c>
      <c r="N32" s="250">
        <v>1</v>
      </c>
      <c r="O32" s="252">
        <v>0.43901537948518016</v>
      </c>
      <c r="P32" s="122">
        <v>0.79881769919800805</v>
      </c>
      <c r="Q32" s="252">
        <v>0.28398789999999996</v>
      </c>
      <c r="R32" s="128">
        <v>-3.3091725876966661E-2</v>
      </c>
      <c r="S32" s="128">
        <v>-43.412141703348922</v>
      </c>
      <c r="T32">
        <v>1.2121686979163779E-2</v>
      </c>
      <c r="U32">
        <v>64.703793216665503</v>
      </c>
      <c r="V32">
        <v>144.36513298075528</v>
      </c>
      <c r="W32">
        <v>213.57057661814929</v>
      </c>
      <c r="X32">
        <v>10.116843325959245</v>
      </c>
      <c r="Y32" s="108">
        <v>15.824601034583688</v>
      </c>
      <c r="Z32" s="108">
        <v>2.4194885452868569</v>
      </c>
      <c r="AD32" s="57"/>
      <c r="AE32"/>
      <c r="AF32"/>
      <c r="AG32"/>
    </row>
    <row r="33" spans="1:33" s="108" customFormat="1" ht="15">
      <c r="A33" s="113"/>
      <c r="B33" s="127"/>
      <c r="C33" s="127"/>
      <c r="D33" s="162"/>
      <c r="E33" s="162"/>
      <c r="F33" s="162"/>
      <c r="G33" s="162"/>
      <c r="H33" s="162"/>
      <c r="I33" s="162"/>
      <c r="J33" s="128"/>
      <c r="K33" s="260"/>
      <c r="L33" s="260"/>
      <c r="M33" s="260"/>
      <c r="N33" s="250"/>
      <c r="O33" s="252"/>
      <c r="P33" s="122"/>
      <c r="Q33" s="252"/>
      <c r="R33" s="128"/>
      <c r="S33" s="128"/>
      <c r="T33"/>
      <c r="U33"/>
      <c r="V33"/>
      <c r="W33"/>
      <c r="X33"/>
      <c r="AD33" s="57"/>
      <c r="AE33"/>
      <c r="AF33"/>
      <c r="AG33"/>
    </row>
    <row r="34" spans="1:33" s="108" customFormat="1" ht="15">
      <c r="A34" s="113"/>
      <c r="B34" s="127"/>
      <c r="C34" s="127"/>
      <c r="D34" s="162"/>
      <c r="E34" s="162"/>
      <c r="F34" s="162"/>
      <c r="G34" s="162"/>
      <c r="H34" s="162"/>
      <c r="I34" s="162"/>
      <c r="J34" s="243"/>
      <c r="K34" s="260"/>
      <c r="L34" s="260"/>
      <c r="M34" s="260"/>
      <c r="N34" s="250"/>
      <c r="O34" s="252"/>
      <c r="P34" s="122"/>
      <c r="Q34" s="252"/>
      <c r="R34" s="128"/>
      <c r="S34" s="128"/>
      <c r="T34"/>
      <c r="U34"/>
      <c r="V34"/>
      <c r="W34"/>
      <c r="X34"/>
      <c r="AD34" s="57"/>
      <c r="AE34"/>
      <c r="AF34"/>
      <c r="AG34"/>
    </row>
    <row r="35" spans="1:33" s="108" customFormat="1" ht="15">
      <c r="A35" s="113"/>
      <c r="B35" s="127"/>
      <c r="C35" s="127"/>
      <c r="D35" s="162"/>
      <c r="E35" s="162"/>
      <c r="F35" s="162"/>
      <c r="G35" s="162"/>
      <c r="H35" s="162"/>
      <c r="I35" s="162"/>
      <c r="J35" s="243"/>
      <c r="K35" s="260"/>
      <c r="L35" s="260"/>
      <c r="M35" s="260"/>
      <c r="N35" s="250"/>
      <c r="O35" s="252"/>
      <c r="P35" s="122"/>
      <c r="Q35" s="252"/>
      <c r="R35" s="128"/>
      <c r="S35" s="128"/>
      <c r="T35"/>
      <c r="U35"/>
      <c r="V35"/>
      <c r="W35"/>
      <c r="X35"/>
      <c r="AD35" s="57"/>
      <c r="AE35"/>
      <c r="AF35"/>
      <c r="AG35"/>
    </row>
    <row r="36" spans="1:33" s="108" customFormat="1" ht="15">
      <c r="A36" s="113"/>
      <c r="B36" s="127"/>
      <c r="C36" s="127"/>
      <c r="D36" s="162"/>
      <c r="E36" s="162"/>
      <c r="F36" s="162"/>
      <c r="G36" s="162"/>
      <c r="H36" s="162"/>
      <c r="I36" s="162"/>
      <c r="J36" s="128"/>
      <c r="K36" s="260"/>
      <c r="L36" s="260"/>
      <c r="M36" s="260"/>
      <c r="N36" s="250"/>
      <c r="O36" s="252"/>
      <c r="P36" s="122"/>
      <c r="Q36" s="252"/>
      <c r="R36" s="128"/>
      <c r="S36" s="128"/>
      <c r="T36"/>
      <c r="U36"/>
      <c r="V36"/>
      <c r="W36"/>
      <c r="X36"/>
      <c r="AD36" s="57"/>
      <c r="AE36"/>
      <c r="AF36"/>
      <c r="AG36"/>
    </row>
    <row r="37" spans="1:33" s="108" customFormat="1" ht="15">
      <c r="A37" s="113"/>
      <c r="B37" s="127"/>
      <c r="C37" s="127"/>
      <c r="D37" s="162"/>
      <c r="E37" s="162"/>
      <c r="F37" s="162"/>
      <c r="G37" s="162"/>
      <c r="H37" s="162"/>
      <c r="I37" s="162"/>
      <c r="J37" s="128"/>
      <c r="K37" s="260"/>
      <c r="L37" s="260"/>
      <c r="M37" s="260"/>
      <c r="N37" s="250"/>
      <c r="O37" s="252"/>
      <c r="P37" s="122"/>
      <c r="Q37" s="252"/>
      <c r="R37" s="242"/>
      <c r="U37" s="254"/>
      <c r="V37" s="254"/>
      <c r="W37" s="242"/>
      <c r="X37" s="160"/>
      <c r="Y37" s="181"/>
      <c r="Z37"/>
      <c r="AA37"/>
      <c r="AB37"/>
      <c r="AC37" s="53"/>
      <c r="AD37" s="181"/>
    </row>
    <row r="38" spans="1:33" s="108" customFormat="1" ht="15">
      <c r="A38" s="113"/>
      <c r="B38" s="127"/>
      <c r="C38" s="127"/>
      <c r="D38" s="162"/>
      <c r="E38" s="162"/>
      <c r="F38" s="162"/>
      <c r="G38" s="162"/>
      <c r="H38" s="162"/>
      <c r="I38" s="162"/>
      <c r="J38" s="128"/>
      <c r="K38" s="260"/>
      <c r="L38" s="260"/>
      <c r="M38" s="260"/>
      <c r="N38" s="250"/>
      <c r="O38" s="252"/>
      <c r="P38" s="122"/>
      <c r="Q38" s="252"/>
      <c r="R38" s="242"/>
      <c r="U38" s="254"/>
      <c r="V38" s="253"/>
      <c r="W38" s="256"/>
      <c r="X38" s="241"/>
      <c r="Y38" s="254"/>
      <c r="Z38"/>
      <c r="AA38"/>
      <c r="AB38"/>
      <c r="AC38"/>
      <c r="AD38" s="254"/>
    </row>
    <row r="39" spans="1:33" s="108" customFormat="1" ht="15">
      <c r="A39" s="113"/>
      <c r="B39" s="127"/>
      <c r="C39" s="127"/>
      <c r="D39" s="162"/>
      <c r="E39" s="162"/>
      <c r="F39" s="162"/>
      <c r="G39" s="162"/>
      <c r="H39" s="162"/>
      <c r="I39" s="162"/>
      <c r="J39" s="128"/>
      <c r="K39" s="260"/>
      <c r="L39" s="260"/>
      <c r="M39" s="260"/>
      <c r="N39" s="250"/>
      <c r="O39" s="252"/>
      <c r="P39" s="122"/>
      <c r="Q39" s="252"/>
      <c r="R39" s="242"/>
      <c r="U39" s="254"/>
      <c r="V39" s="253"/>
      <c r="W39" s="256"/>
      <c r="X39" s="241"/>
      <c r="Y39" s="254"/>
      <c r="Z39"/>
      <c r="AA39"/>
      <c r="AB39"/>
      <c r="AC39"/>
      <c r="AD39" s="254"/>
    </row>
    <row r="40" spans="1:33" s="108" customFormat="1" ht="15">
      <c r="A40" s="113"/>
      <c r="B40" s="127"/>
      <c r="C40" s="127"/>
      <c r="D40" s="162"/>
      <c r="E40" s="162"/>
      <c r="F40" s="162"/>
      <c r="G40" s="162"/>
      <c r="H40" s="162"/>
      <c r="I40" s="162"/>
      <c r="J40" s="128"/>
      <c r="K40" s="260"/>
      <c r="L40" s="260"/>
      <c r="M40" s="260"/>
      <c r="N40" s="250"/>
      <c r="O40" s="252"/>
      <c r="P40" s="122"/>
      <c r="Q40" s="252"/>
      <c r="R40" s="242"/>
      <c r="U40" s="254"/>
      <c r="V40" s="253"/>
      <c r="W40" s="256"/>
      <c r="X40" s="241"/>
      <c r="Y40" s="254"/>
      <c r="Z40"/>
      <c r="AA40"/>
      <c r="AB40"/>
      <c r="AC40"/>
      <c r="AD40" s="254"/>
    </row>
    <row r="41" spans="1:33" ht="12.75" customHeight="1">
      <c r="A41" s="113"/>
      <c r="B41" s="127"/>
      <c r="C41" s="162"/>
      <c r="D41" s="162"/>
      <c r="E41" s="162"/>
      <c r="F41" s="162"/>
      <c r="G41" s="162"/>
      <c r="H41" s="162"/>
      <c r="I41" s="162"/>
      <c r="J41" s="120"/>
      <c r="K41" s="260"/>
      <c r="L41" s="260"/>
      <c r="M41" s="260"/>
      <c r="N41" s="250"/>
      <c r="O41" s="251"/>
      <c r="P41" s="122"/>
      <c r="Q41" s="251"/>
      <c r="R41" s="242"/>
      <c r="S41" s="108"/>
      <c r="U41" s="254"/>
      <c r="V41" s="253"/>
      <c r="W41" s="256"/>
      <c r="X41" s="241"/>
      <c r="Y41" s="254"/>
      <c r="AD41" s="254"/>
    </row>
    <row r="42" spans="1:33" ht="12.75" customHeight="1">
      <c r="A42" s="113"/>
      <c r="B42" s="127"/>
      <c r="C42" s="162"/>
      <c r="D42" s="162"/>
      <c r="E42" s="162"/>
      <c r="F42" s="162"/>
      <c r="G42" s="162"/>
      <c r="H42" s="162"/>
      <c r="I42" s="162"/>
      <c r="J42" s="120"/>
      <c r="K42" s="162"/>
      <c r="L42" s="260"/>
      <c r="M42" s="260"/>
      <c r="N42" s="250"/>
      <c r="O42" s="251"/>
      <c r="P42" s="122"/>
      <c r="Q42" s="251"/>
      <c r="R42" s="242"/>
      <c r="S42" s="108"/>
      <c r="U42" s="254"/>
      <c r="V42" s="253"/>
      <c r="W42" s="256"/>
      <c r="X42" s="241"/>
      <c r="AD42" s="254"/>
    </row>
    <row r="43" spans="1:33" ht="12.75" customHeight="1">
      <c r="A43" s="113"/>
      <c r="B43" s="127"/>
      <c r="C43" s="162"/>
      <c r="D43" s="162"/>
      <c r="E43" s="162"/>
      <c r="F43" s="162"/>
      <c r="G43" s="162"/>
      <c r="H43" s="261"/>
      <c r="I43" s="261"/>
      <c r="J43" s="120"/>
      <c r="K43" s="261"/>
      <c r="L43" s="260"/>
      <c r="M43" s="260"/>
      <c r="N43" s="250"/>
      <c r="O43" s="251"/>
      <c r="P43" s="122"/>
      <c r="Q43" s="251"/>
      <c r="R43" s="242"/>
      <c r="S43" s="108"/>
      <c r="U43" s="254"/>
      <c r="V43" s="253"/>
      <c r="W43" s="256"/>
      <c r="X43" s="241"/>
      <c r="AD43" s="254"/>
    </row>
    <row r="44" spans="1:33" ht="12.75" customHeight="1">
      <c r="A44" s="113"/>
      <c r="B44" s="127"/>
      <c r="C44" s="162"/>
      <c r="D44" s="162"/>
      <c r="E44" s="162"/>
      <c r="F44" s="162"/>
      <c r="G44" s="162"/>
      <c r="H44" s="162"/>
      <c r="I44" s="162"/>
      <c r="J44" s="120"/>
      <c r="K44" s="162"/>
      <c r="L44" s="260"/>
      <c r="M44" s="260"/>
      <c r="N44" s="250"/>
      <c r="O44" s="251"/>
      <c r="P44" s="122"/>
      <c r="Q44" s="251"/>
      <c r="R44" s="242"/>
      <c r="S44" s="108"/>
      <c r="U44" s="254"/>
      <c r="V44" s="253"/>
      <c r="W44" s="256"/>
      <c r="X44" s="241"/>
      <c r="AD44" s="254"/>
    </row>
    <row r="45" spans="1:33" ht="12.75" customHeight="1">
      <c r="A45" s="113"/>
      <c r="B45" s="127"/>
      <c r="C45" s="162"/>
      <c r="D45" s="162"/>
      <c r="E45" s="162"/>
      <c r="F45" s="162"/>
      <c r="G45" s="162"/>
      <c r="H45" s="162"/>
      <c r="I45" s="162"/>
      <c r="J45" s="120"/>
      <c r="K45" s="162"/>
      <c r="L45" s="260"/>
      <c r="M45" s="260"/>
      <c r="N45" s="250"/>
      <c r="O45" s="251"/>
      <c r="P45" s="122"/>
      <c r="Q45" s="251"/>
      <c r="R45" s="242"/>
      <c r="S45" s="108"/>
      <c r="U45" s="254"/>
      <c r="V45" s="253"/>
      <c r="W45" s="256"/>
      <c r="X45" s="241"/>
      <c r="AD45" s="254"/>
    </row>
    <row r="46" spans="1:33" ht="12.75" customHeight="1">
      <c r="A46" s="113"/>
      <c r="B46" s="127"/>
      <c r="C46" s="162"/>
      <c r="D46" s="162"/>
      <c r="E46" s="162"/>
      <c r="F46" s="162"/>
      <c r="G46" s="162"/>
      <c r="H46" s="162"/>
      <c r="I46" s="162"/>
      <c r="J46" s="120"/>
      <c r="K46" s="162"/>
      <c r="L46" s="260"/>
      <c r="M46" s="260"/>
      <c r="N46" s="250"/>
      <c r="O46" s="251"/>
      <c r="P46" s="122"/>
      <c r="Q46" s="251"/>
      <c r="R46" s="242"/>
      <c r="S46" s="108"/>
      <c r="U46" s="254"/>
      <c r="V46" s="253"/>
      <c r="W46" s="256"/>
      <c r="X46" s="241"/>
      <c r="AD46" s="254"/>
    </row>
    <row r="47" spans="1:33" ht="12.75" customHeight="1">
      <c r="A47" s="113"/>
      <c r="B47" s="127"/>
      <c r="C47" s="162"/>
      <c r="D47" s="162"/>
      <c r="E47" s="162"/>
      <c r="F47" s="162"/>
      <c r="G47" s="162"/>
      <c r="H47" s="162"/>
      <c r="I47" s="162"/>
      <c r="J47" s="120"/>
      <c r="K47" s="162"/>
      <c r="L47" s="260"/>
      <c r="M47" s="260"/>
      <c r="N47" s="250"/>
      <c r="O47" s="251"/>
      <c r="P47" s="122"/>
      <c r="Q47" s="251"/>
      <c r="R47" s="242"/>
      <c r="S47" s="108"/>
      <c r="U47" s="254"/>
      <c r="V47" s="253"/>
      <c r="W47" s="256"/>
      <c r="X47" s="241"/>
      <c r="AD47" s="254"/>
    </row>
    <row r="48" spans="1:33" ht="12.75" customHeight="1">
      <c r="A48" s="113"/>
      <c r="B48" s="127"/>
      <c r="C48" s="162"/>
      <c r="D48" s="162"/>
      <c r="E48" s="162"/>
      <c r="F48" s="162"/>
      <c r="G48" s="162"/>
      <c r="H48" s="162"/>
      <c r="I48" s="162"/>
      <c r="J48" s="120"/>
      <c r="K48" s="162"/>
      <c r="L48" s="260"/>
      <c r="M48" s="260"/>
      <c r="N48" s="250"/>
      <c r="O48" s="251"/>
      <c r="P48" s="122"/>
      <c r="Q48" s="251"/>
      <c r="R48" s="242"/>
      <c r="S48" s="108"/>
      <c r="U48" s="254"/>
      <c r="V48" s="253"/>
      <c r="W48" s="256"/>
      <c r="X48" s="241"/>
      <c r="AD48" s="254"/>
    </row>
    <row r="49" spans="1:30" ht="12.75" customHeight="1">
      <c r="A49" s="113"/>
      <c r="B49" s="127"/>
      <c r="C49" s="162"/>
      <c r="D49" s="162"/>
      <c r="E49" s="162"/>
      <c r="F49" s="162"/>
      <c r="G49" s="162"/>
      <c r="H49" s="162"/>
      <c r="I49" s="162"/>
      <c r="J49" s="120"/>
      <c r="K49" s="162"/>
      <c r="L49" s="260"/>
      <c r="M49" s="260"/>
      <c r="N49" s="250"/>
      <c r="O49" s="251"/>
      <c r="P49" s="122"/>
      <c r="Q49" s="251"/>
      <c r="R49" s="242"/>
      <c r="S49" s="108"/>
      <c r="U49" s="254"/>
      <c r="V49" s="253"/>
      <c r="W49" s="256"/>
      <c r="X49" s="241"/>
      <c r="AD49" s="254"/>
    </row>
    <row r="50" spans="1:30" ht="12.75" customHeight="1">
      <c r="A50" s="113"/>
      <c r="B50" s="127"/>
      <c r="C50" s="162"/>
      <c r="D50" s="162"/>
      <c r="E50" s="162"/>
      <c r="F50" s="162"/>
      <c r="G50" s="162"/>
      <c r="H50" s="162"/>
      <c r="I50" s="162"/>
      <c r="J50" s="120"/>
      <c r="K50" s="162"/>
      <c r="L50" s="260"/>
      <c r="M50" s="260"/>
      <c r="N50" s="250"/>
      <c r="O50" s="251"/>
      <c r="P50" s="122"/>
      <c r="Q50" s="251"/>
      <c r="R50" s="242"/>
      <c r="S50" s="108"/>
      <c r="U50" s="254"/>
      <c r="V50" s="253"/>
      <c r="W50" s="256"/>
      <c r="X50" s="241"/>
      <c r="AD50" s="254"/>
    </row>
    <row r="51" spans="1:30" ht="12.75" customHeight="1">
      <c r="A51" s="113"/>
      <c r="B51" s="127"/>
      <c r="C51" s="162"/>
      <c r="D51" s="162"/>
      <c r="E51" s="162"/>
      <c r="F51" s="162"/>
      <c r="G51" s="162"/>
      <c r="H51" s="162"/>
      <c r="I51" s="162"/>
      <c r="J51" s="120"/>
      <c r="K51" s="162"/>
      <c r="L51" s="260"/>
      <c r="M51" s="260"/>
      <c r="N51" s="250"/>
      <c r="O51" s="251"/>
      <c r="P51" s="122"/>
      <c r="Q51" s="251"/>
      <c r="R51" s="242"/>
      <c r="S51" s="108"/>
      <c r="U51" s="254"/>
      <c r="V51" s="253"/>
      <c r="W51" s="256"/>
      <c r="X51" s="241"/>
      <c r="AD51" s="254"/>
    </row>
    <row r="52" spans="1:30" ht="12.75" customHeight="1">
      <c r="A52" s="113"/>
      <c r="B52" s="127"/>
      <c r="C52" s="162"/>
      <c r="D52" s="162"/>
      <c r="E52" s="162"/>
      <c r="F52" s="162"/>
      <c r="G52" s="162"/>
      <c r="H52" s="162"/>
      <c r="I52" s="162"/>
      <c r="J52" s="120"/>
      <c r="K52" s="162"/>
      <c r="L52" s="260"/>
      <c r="M52" s="260"/>
      <c r="N52" s="250"/>
      <c r="O52" s="251"/>
      <c r="P52" s="122"/>
      <c r="Q52" s="251"/>
      <c r="R52" s="242"/>
      <c r="S52" s="108"/>
      <c r="U52" s="254"/>
      <c r="V52" s="253"/>
      <c r="W52" s="256"/>
      <c r="X52" s="241"/>
      <c r="AD52" s="254"/>
    </row>
    <row r="53" spans="1:30" ht="12.75" customHeight="1">
      <c r="A53" s="113"/>
      <c r="B53" s="127"/>
      <c r="C53" s="162"/>
      <c r="D53" s="162"/>
      <c r="E53" s="162"/>
      <c r="F53" s="162"/>
      <c r="G53" s="162"/>
      <c r="H53" s="162"/>
      <c r="I53" s="162"/>
      <c r="J53" s="120"/>
      <c r="K53" s="162"/>
      <c r="L53" s="260"/>
      <c r="M53" s="260"/>
      <c r="N53" s="250"/>
      <c r="O53" s="251"/>
      <c r="P53" s="122"/>
      <c r="Q53" s="251"/>
      <c r="R53" s="242"/>
      <c r="S53" s="108"/>
      <c r="U53" s="254"/>
      <c r="V53" s="253"/>
      <c r="W53" s="256"/>
      <c r="X53" s="241"/>
      <c r="AD53" s="254"/>
    </row>
    <row r="54" spans="1:30" ht="12.75" customHeight="1">
      <c r="A54" s="113"/>
      <c r="B54" s="127"/>
      <c r="C54" s="162"/>
      <c r="D54" s="162"/>
      <c r="E54" s="162"/>
      <c r="F54" s="162"/>
      <c r="G54" s="162"/>
      <c r="H54" s="162"/>
      <c r="I54" s="162"/>
      <c r="J54" s="120"/>
      <c r="K54" s="162"/>
      <c r="L54" s="260"/>
      <c r="M54" s="260"/>
      <c r="N54" s="250"/>
      <c r="O54" s="251"/>
      <c r="P54" s="122"/>
      <c r="Q54" s="251"/>
      <c r="R54" s="242"/>
      <c r="S54" s="108"/>
    </row>
    <row r="55" spans="1:30" ht="12.75" customHeight="1">
      <c r="A55" s="113"/>
      <c r="B55" s="127"/>
      <c r="C55" s="162"/>
      <c r="D55" s="162"/>
      <c r="E55" s="162"/>
      <c r="F55" s="162"/>
      <c r="G55" s="162"/>
      <c r="H55" s="162"/>
      <c r="I55" s="162"/>
      <c r="J55" s="120"/>
      <c r="K55" s="162"/>
      <c r="L55" s="260"/>
      <c r="M55" s="260"/>
      <c r="N55" s="250"/>
      <c r="O55" s="251"/>
      <c r="P55" s="122"/>
      <c r="Q55" s="251"/>
      <c r="R55" s="242"/>
      <c r="S55" s="108"/>
    </row>
    <row r="56" spans="1:30" ht="12.75" customHeight="1">
      <c r="A56" s="108"/>
      <c r="B56" s="128"/>
      <c r="C56" s="120"/>
      <c r="D56" s="162"/>
      <c r="E56" s="162"/>
      <c r="F56" s="162"/>
      <c r="G56" s="162"/>
      <c r="H56" s="162"/>
      <c r="I56" s="162"/>
      <c r="J56" s="120"/>
      <c r="K56" s="162"/>
      <c r="L56" s="260"/>
      <c r="M56" s="260"/>
      <c r="N56" s="250"/>
      <c r="O56" s="251"/>
      <c r="P56" s="122"/>
      <c r="Q56" s="162"/>
      <c r="R56" s="162"/>
      <c r="S56" s="162"/>
    </row>
    <row r="57" spans="1:30" ht="12.75" customHeight="1">
      <c r="A57" s="108"/>
      <c r="B57" s="128"/>
      <c r="C57" s="120"/>
      <c r="D57" s="162"/>
      <c r="E57" s="162"/>
      <c r="F57" s="162"/>
      <c r="G57" s="162"/>
      <c r="H57" s="162"/>
      <c r="I57" s="162"/>
      <c r="J57" s="120"/>
      <c r="K57" s="162"/>
      <c r="L57" s="260"/>
      <c r="M57" s="260"/>
      <c r="N57" s="250"/>
      <c r="O57" s="251"/>
      <c r="P57" s="122"/>
      <c r="Q57" s="162"/>
      <c r="R57" s="162"/>
      <c r="S57" s="162"/>
    </row>
    <row r="58" spans="1:30" ht="12.75" customHeight="1">
      <c r="A58" s="108"/>
      <c r="B58" s="128"/>
      <c r="C58" s="120"/>
      <c r="D58" s="162"/>
      <c r="E58" s="162"/>
      <c r="F58" s="162"/>
      <c r="G58" s="162"/>
      <c r="H58" s="162"/>
      <c r="I58" s="162"/>
      <c r="J58" s="120"/>
      <c r="K58" s="162"/>
      <c r="L58" s="260"/>
      <c r="M58" s="260"/>
      <c r="N58" s="250"/>
      <c r="O58" s="251"/>
      <c r="P58" s="122"/>
      <c r="Q58" s="162"/>
      <c r="R58" s="162"/>
      <c r="S58" s="162"/>
    </row>
    <row r="59" spans="1:30" ht="12.75" customHeight="1">
      <c r="A59" s="108"/>
      <c r="B59" s="128"/>
      <c r="C59" s="120"/>
      <c r="D59" s="162"/>
      <c r="E59" s="162"/>
      <c r="F59" s="162"/>
      <c r="G59" s="162"/>
      <c r="H59" s="162"/>
      <c r="I59" s="162"/>
      <c r="J59" s="120"/>
      <c r="K59" s="162"/>
      <c r="L59" s="260"/>
      <c r="M59" s="260"/>
      <c r="N59" s="250"/>
      <c r="O59" s="251"/>
      <c r="P59" s="122"/>
      <c r="Q59" s="162"/>
      <c r="R59" s="162"/>
      <c r="S59" s="162"/>
    </row>
    <row r="60" spans="1:30" ht="12.75" customHeight="1">
      <c r="A60" s="108"/>
      <c r="B60" s="128"/>
      <c r="C60" s="120"/>
      <c r="D60" s="162"/>
      <c r="E60" s="162"/>
      <c r="F60" s="162"/>
      <c r="G60" s="162"/>
      <c r="H60" s="162"/>
      <c r="I60" s="162"/>
      <c r="J60" s="120"/>
      <c r="K60" s="162"/>
      <c r="L60" s="260"/>
      <c r="M60" s="260"/>
      <c r="N60" s="250"/>
      <c r="O60" s="251"/>
      <c r="P60" s="122"/>
      <c r="Q60" s="162"/>
      <c r="R60" s="162"/>
      <c r="S60" s="162"/>
    </row>
    <row r="61" spans="1:30" ht="12.75" customHeight="1">
      <c r="A61" s="108"/>
      <c r="B61" s="128"/>
      <c r="C61" s="120"/>
      <c r="D61" s="162"/>
      <c r="E61" s="162"/>
      <c r="F61" s="162"/>
      <c r="G61" s="162"/>
      <c r="H61" s="162"/>
      <c r="I61" s="162"/>
      <c r="J61" s="120"/>
      <c r="K61" s="162"/>
      <c r="L61" s="260"/>
      <c r="M61" s="260"/>
      <c r="N61" s="250"/>
      <c r="O61" s="249"/>
      <c r="P61" s="122"/>
      <c r="Q61" s="162"/>
      <c r="R61" s="162"/>
      <c r="S61" s="162"/>
    </row>
    <row r="62" spans="1:30" ht="12.75" customHeight="1">
      <c r="A62" s="108"/>
      <c r="B62" s="128"/>
      <c r="C62" s="120"/>
      <c r="D62" s="162"/>
      <c r="E62" s="162"/>
      <c r="F62" s="162"/>
      <c r="G62" s="162"/>
      <c r="H62" s="162"/>
      <c r="I62" s="162"/>
      <c r="J62" s="120"/>
      <c r="K62" s="162"/>
      <c r="L62" s="260"/>
      <c r="M62" s="260"/>
      <c r="N62" s="250"/>
      <c r="O62" s="251"/>
      <c r="P62" s="122"/>
      <c r="Q62" s="162"/>
      <c r="R62" s="162"/>
      <c r="S62" s="162"/>
    </row>
    <row r="63" spans="1:30" ht="12.75" customHeight="1">
      <c r="A63" s="108"/>
      <c r="B63" s="128"/>
      <c r="C63" s="120"/>
      <c r="D63" s="162"/>
      <c r="E63" s="162"/>
      <c r="F63" s="162"/>
      <c r="G63" s="162"/>
      <c r="H63" s="162"/>
      <c r="I63" s="162"/>
      <c r="J63" s="120"/>
      <c r="K63" s="162"/>
      <c r="L63" s="260"/>
      <c r="M63" s="260"/>
      <c r="N63" s="250"/>
      <c r="O63" s="251"/>
      <c r="P63" s="122"/>
      <c r="Q63" s="162"/>
      <c r="R63" s="162"/>
      <c r="S63" s="162"/>
    </row>
    <row r="64" spans="1:30" ht="12.75" customHeight="1">
      <c r="A64" s="108"/>
      <c r="B64" s="128"/>
      <c r="C64" s="120"/>
      <c r="D64" s="162"/>
      <c r="E64" s="162"/>
      <c r="F64" s="162"/>
      <c r="G64" s="162"/>
      <c r="H64" s="162"/>
      <c r="I64" s="162"/>
      <c r="J64" s="120"/>
      <c r="K64" s="162"/>
      <c r="L64" s="260"/>
      <c r="M64" s="260"/>
      <c r="N64" s="250"/>
      <c r="O64" s="251"/>
      <c r="P64" s="122"/>
      <c r="Q64" s="251"/>
    </row>
    <row r="65" spans="1:19" ht="12.75" customHeight="1">
      <c r="A65" s="108"/>
      <c r="B65" s="128"/>
      <c r="C65" s="120"/>
      <c r="D65" s="162"/>
      <c r="E65" s="162"/>
      <c r="F65" s="162"/>
      <c r="G65" s="162"/>
      <c r="H65" s="162"/>
      <c r="I65" s="162"/>
      <c r="J65" s="120"/>
      <c r="K65" s="162"/>
      <c r="L65" s="260"/>
      <c r="M65" s="260"/>
      <c r="N65" s="250"/>
      <c r="O65" s="251"/>
      <c r="P65" s="122"/>
      <c r="Q65" s="251"/>
    </row>
    <row r="66" spans="1:19" ht="12.75" customHeight="1">
      <c r="A66" s="108"/>
      <c r="B66" s="128"/>
      <c r="C66" s="120"/>
      <c r="D66" s="162"/>
      <c r="E66" s="162"/>
      <c r="F66" s="162"/>
      <c r="G66" s="162"/>
      <c r="H66" s="162"/>
      <c r="I66" s="162"/>
      <c r="J66" s="120"/>
      <c r="K66" s="162"/>
      <c r="L66" s="260"/>
      <c r="M66" s="260"/>
      <c r="N66" s="250"/>
      <c r="O66" s="251"/>
      <c r="P66" s="122"/>
      <c r="Q66" s="162"/>
      <c r="R66" s="162"/>
    </row>
    <row r="67" spans="1:19" ht="12.75" customHeight="1">
      <c r="A67" s="108"/>
      <c r="B67" s="128"/>
      <c r="C67" s="120"/>
      <c r="D67" s="162"/>
      <c r="E67" s="162"/>
      <c r="F67" s="162"/>
      <c r="G67" s="162"/>
      <c r="H67" s="162"/>
      <c r="I67" s="162"/>
      <c r="J67" s="120"/>
      <c r="K67" s="162"/>
      <c r="L67" s="260"/>
      <c r="M67" s="260"/>
      <c r="N67" s="250"/>
      <c r="O67" s="251"/>
      <c r="P67" s="122"/>
      <c r="Q67" s="162"/>
      <c r="R67" s="162"/>
    </row>
    <row r="68" spans="1:19" ht="12.75" customHeight="1">
      <c r="A68" s="108"/>
      <c r="B68" s="128"/>
      <c r="C68" s="120"/>
      <c r="D68" s="162"/>
      <c r="E68" s="162"/>
      <c r="F68" s="162"/>
      <c r="G68" s="162"/>
      <c r="H68" s="162"/>
      <c r="I68" s="162"/>
      <c r="J68" s="120"/>
      <c r="K68" s="162"/>
      <c r="L68" s="260"/>
      <c r="M68" s="260"/>
      <c r="N68" s="250"/>
      <c r="O68" s="251"/>
      <c r="P68" s="127"/>
      <c r="Q68" s="162"/>
      <c r="R68" s="162"/>
    </row>
    <row r="69" spans="1:19" ht="12.75" customHeight="1">
      <c r="A69" s="108"/>
      <c r="B69" s="128"/>
      <c r="C69" s="120"/>
      <c r="D69" s="162"/>
      <c r="E69" s="162"/>
      <c r="F69" s="162"/>
      <c r="G69" s="162"/>
      <c r="H69" s="162"/>
      <c r="I69" s="162"/>
      <c r="J69" s="120"/>
      <c r="K69" s="162"/>
      <c r="L69" s="260"/>
      <c r="M69" s="260"/>
      <c r="N69" s="250"/>
      <c r="O69" s="251"/>
      <c r="P69" s="127"/>
      <c r="Q69" s="162"/>
      <c r="R69" s="162"/>
    </row>
    <row r="70" spans="1:19" ht="12.75" customHeight="1">
      <c r="A70" s="108"/>
      <c r="B70" s="128"/>
      <c r="C70" s="120"/>
      <c r="D70" s="162"/>
      <c r="E70" s="162"/>
      <c r="F70" s="162"/>
      <c r="G70" s="162"/>
      <c r="H70" s="162"/>
      <c r="I70" s="162"/>
      <c r="J70" s="120"/>
      <c r="K70" s="162"/>
      <c r="L70" s="260"/>
      <c r="M70" s="260"/>
      <c r="N70" s="250"/>
      <c r="O70" s="251"/>
      <c r="P70" s="127"/>
      <c r="Q70" s="162"/>
      <c r="R70" s="162"/>
    </row>
    <row r="71" spans="1:19" ht="12.75" customHeight="1">
      <c r="A71" s="108"/>
      <c r="B71" s="128"/>
      <c r="C71" s="120"/>
      <c r="D71" s="162"/>
      <c r="E71" s="162"/>
      <c r="F71" s="162"/>
      <c r="G71" s="162"/>
      <c r="H71" s="162"/>
      <c r="I71" s="162"/>
      <c r="J71" s="120"/>
      <c r="K71" s="162"/>
      <c r="L71" s="260"/>
      <c r="M71" s="260"/>
      <c r="N71" s="250"/>
      <c r="O71" s="251"/>
      <c r="P71" s="127"/>
      <c r="Q71" s="162"/>
      <c r="R71" s="162"/>
    </row>
    <row r="72" spans="1:19" ht="12.75" customHeight="1">
      <c r="A72" s="108"/>
      <c r="B72" s="128"/>
      <c r="C72" s="120"/>
      <c r="D72" s="162"/>
      <c r="E72" s="162"/>
      <c r="F72" s="162"/>
      <c r="G72" s="162"/>
      <c r="H72" s="162"/>
      <c r="I72" s="162"/>
      <c r="J72" s="120"/>
      <c r="K72" s="162"/>
      <c r="L72" s="260"/>
      <c r="M72" s="260"/>
      <c r="N72" s="250"/>
      <c r="O72" s="251"/>
      <c r="P72" s="127"/>
      <c r="Q72" s="162"/>
      <c r="R72" s="162"/>
    </row>
    <row r="73" spans="1:19" ht="12.75" customHeight="1">
      <c r="A73" s="108"/>
      <c r="B73" s="128"/>
      <c r="C73" s="120"/>
      <c r="D73" s="162"/>
      <c r="E73" s="162"/>
      <c r="F73" s="162"/>
      <c r="G73" s="162"/>
      <c r="H73" s="162"/>
      <c r="I73" s="162"/>
      <c r="J73" s="120"/>
      <c r="K73" s="162"/>
      <c r="L73" s="260"/>
      <c r="M73" s="260"/>
      <c r="N73" s="250"/>
      <c r="O73" s="251"/>
      <c r="P73" s="127"/>
      <c r="Q73" s="162"/>
      <c r="R73" s="162"/>
    </row>
    <row r="74" spans="1:19" ht="12.75" customHeight="1">
      <c r="A74" s="108"/>
      <c r="B74" s="128"/>
      <c r="C74" s="120"/>
      <c r="D74" s="162"/>
      <c r="E74" s="162"/>
      <c r="F74" s="162"/>
      <c r="G74" s="162"/>
      <c r="H74" s="162"/>
      <c r="I74" s="162"/>
      <c r="J74" s="120"/>
      <c r="K74" s="162"/>
      <c r="L74" s="260"/>
      <c r="M74" s="260"/>
      <c r="N74" s="250"/>
      <c r="O74" s="251"/>
      <c r="P74" s="127"/>
      <c r="Q74" s="162"/>
      <c r="R74" s="162"/>
    </row>
    <row r="75" spans="1:19" ht="12.75" customHeight="1">
      <c r="A75" s="108"/>
      <c r="B75" s="128"/>
      <c r="C75" s="120"/>
      <c r="D75" s="162"/>
      <c r="E75" s="162"/>
      <c r="F75" s="162"/>
      <c r="G75" s="162"/>
      <c r="H75" s="162"/>
      <c r="I75" s="162"/>
      <c r="J75" s="120"/>
      <c r="K75" s="162"/>
      <c r="L75" s="260"/>
      <c r="M75" s="260"/>
      <c r="N75" s="250"/>
      <c r="O75" s="251"/>
      <c r="P75" s="127"/>
      <c r="Q75" s="162"/>
      <c r="R75" s="162"/>
    </row>
    <row r="76" spans="1:19" ht="12.75" customHeight="1">
      <c r="A76" s="108"/>
      <c r="B76" s="128"/>
      <c r="C76" s="120"/>
      <c r="D76" s="162"/>
      <c r="E76" s="162"/>
      <c r="F76" s="162"/>
      <c r="G76" s="162"/>
      <c r="H76" s="162"/>
      <c r="I76" s="162"/>
      <c r="J76" s="120"/>
      <c r="K76" s="162"/>
      <c r="L76" s="260"/>
      <c r="M76" s="260"/>
      <c r="N76" s="250"/>
      <c r="O76" s="251"/>
      <c r="P76" s="127"/>
      <c r="Q76" s="162"/>
      <c r="R76" s="162"/>
    </row>
    <row r="77" spans="1:19" ht="12.75" customHeight="1">
      <c r="A77" s="108"/>
      <c r="B77" s="128"/>
      <c r="C77" s="120"/>
      <c r="D77" s="162"/>
      <c r="E77" s="162"/>
      <c r="F77" s="162"/>
      <c r="G77" s="162"/>
      <c r="H77" s="162"/>
      <c r="I77" s="162"/>
      <c r="J77" s="120"/>
      <c r="K77" s="162"/>
      <c r="L77" s="260"/>
      <c r="M77" s="260"/>
      <c r="N77" s="250"/>
      <c r="O77" s="251"/>
      <c r="P77" s="127"/>
      <c r="Q77" s="162"/>
      <c r="R77" s="162"/>
    </row>
    <row r="78" spans="1:19" ht="12.75" customHeight="1">
      <c r="A78" s="108"/>
      <c r="B78" s="128"/>
      <c r="C78" s="120"/>
      <c r="D78" s="162"/>
      <c r="E78" s="162"/>
      <c r="F78" s="162"/>
      <c r="G78" s="162"/>
      <c r="H78" s="162"/>
      <c r="I78" s="162"/>
      <c r="J78" s="120"/>
      <c r="K78" s="162"/>
      <c r="L78" s="260"/>
      <c r="M78" s="260"/>
      <c r="N78" s="250"/>
      <c r="O78" s="251"/>
      <c r="P78" s="127"/>
      <c r="Q78" s="162"/>
      <c r="R78" s="162"/>
    </row>
    <row r="79" spans="1:19" ht="12.75" customHeight="1">
      <c r="A79" s="108"/>
      <c r="B79" s="128"/>
      <c r="C79" s="120"/>
      <c r="D79" s="162"/>
      <c r="E79" s="162"/>
      <c r="F79" s="162"/>
      <c r="G79" s="162"/>
      <c r="H79" s="162"/>
      <c r="I79" s="162"/>
      <c r="J79" s="120"/>
      <c r="K79" s="162"/>
      <c r="L79" s="260"/>
      <c r="M79" s="260"/>
      <c r="N79" s="250"/>
      <c r="O79" s="251"/>
      <c r="P79" s="127"/>
      <c r="Q79" s="162"/>
      <c r="R79" s="162"/>
      <c r="S79" s="162"/>
    </row>
    <row r="80" spans="1:19" ht="12.75" customHeight="1">
      <c r="A80" s="108"/>
      <c r="B80" s="128"/>
      <c r="C80" s="120"/>
      <c r="D80" s="162"/>
      <c r="E80" s="162"/>
      <c r="F80" s="162"/>
      <c r="G80" s="162"/>
      <c r="H80" s="162"/>
      <c r="I80" s="162"/>
      <c r="J80" s="120"/>
      <c r="K80" s="162"/>
      <c r="L80" s="260"/>
      <c r="M80" s="260"/>
      <c r="N80" s="250"/>
      <c r="O80" s="251"/>
      <c r="P80" s="127"/>
      <c r="Q80" s="162"/>
      <c r="R80" s="162"/>
    </row>
    <row r="81" spans="1:19" ht="12.75" customHeight="1">
      <c r="A81" s="108"/>
      <c r="B81" s="128"/>
      <c r="C81" s="120"/>
      <c r="D81" s="162"/>
      <c r="E81" s="162"/>
      <c r="F81" s="162"/>
      <c r="G81" s="162"/>
      <c r="H81" s="162"/>
      <c r="I81" s="162"/>
      <c r="J81" s="120"/>
      <c r="K81" s="162"/>
      <c r="L81" s="260"/>
      <c r="M81" s="260"/>
      <c r="N81" s="250"/>
      <c r="O81" s="251"/>
      <c r="P81" s="127"/>
      <c r="Q81" s="162"/>
      <c r="R81" s="162"/>
    </row>
    <row r="82" spans="1:19" ht="12.75" customHeight="1">
      <c r="A82" s="108"/>
      <c r="B82" s="128"/>
      <c r="C82" s="120"/>
      <c r="D82" s="162"/>
      <c r="E82" s="162"/>
      <c r="F82" s="162"/>
      <c r="G82" s="162"/>
      <c r="H82" s="162"/>
      <c r="I82" s="162"/>
      <c r="J82" s="120"/>
      <c r="K82" s="162"/>
      <c r="L82" s="260"/>
      <c r="M82" s="260"/>
      <c r="N82" s="250"/>
      <c r="O82" s="251"/>
      <c r="P82" s="127"/>
      <c r="Q82" s="162"/>
      <c r="R82" s="162"/>
    </row>
    <row r="83" spans="1:19" ht="12.75" customHeight="1">
      <c r="A83" s="108"/>
      <c r="B83" s="128"/>
      <c r="C83" s="120"/>
      <c r="D83" s="162"/>
      <c r="E83" s="162"/>
      <c r="F83" s="162"/>
      <c r="G83" s="162"/>
      <c r="H83" s="162"/>
      <c r="I83" s="162"/>
      <c r="J83" s="120"/>
      <c r="K83" s="162"/>
      <c r="L83" s="260"/>
      <c r="M83" s="260"/>
      <c r="N83" s="250"/>
      <c r="O83" s="251"/>
      <c r="P83" s="127"/>
      <c r="Q83" s="162"/>
      <c r="R83" s="162"/>
    </row>
    <row r="84" spans="1:19" ht="12.75" customHeight="1">
      <c r="A84" s="108"/>
      <c r="B84" s="128"/>
      <c r="C84" s="120"/>
      <c r="D84" s="162"/>
      <c r="E84" s="162"/>
      <c r="F84" s="162"/>
      <c r="G84" s="162"/>
      <c r="H84" s="162"/>
      <c r="I84" s="162"/>
      <c r="J84" s="120"/>
      <c r="K84" s="162"/>
      <c r="L84" s="260"/>
      <c r="M84" s="260"/>
      <c r="N84" s="250"/>
      <c r="O84" s="251"/>
      <c r="P84" s="127"/>
      <c r="Q84" s="162"/>
      <c r="R84" s="162"/>
    </row>
    <row r="85" spans="1:19" ht="12.75" customHeight="1">
      <c r="A85" s="108"/>
      <c r="B85" s="128"/>
      <c r="C85" s="120"/>
      <c r="D85" s="162"/>
      <c r="E85" s="162"/>
      <c r="F85" s="162"/>
      <c r="G85" s="162"/>
      <c r="H85" s="162"/>
      <c r="I85" s="162"/>
      <c r="J85" s="120"/>
      <c r="K85" s="162"/>
      <c r="L85" s="260"/>
      <c r="M85" s="260"/>
      <c r="N85" s="250"/>
      <c r="O85" s="251"/>
      <c r="P85" s="127"/>
      <c r="Q85" s="162"/>
      <c r="R85" s="162"/>
    </row>
    <row r="86" spans="1:19" ht="12.75" customHeight="1">
      <c r="A86" s="108"/>
      <c r="B86" s="128"/>
      <c r="C86" s="120"/>
      <c r="D86" s="162"/>
      <c r="E86" s="162"/>
      <c r="F86" s="162"/>
      <c r="G86" s="162"/>
      <c r="H86" s="162"/>
      <c r="I86" s="162"/>
      <c r="J86" s="120"/>
      <c r="K86" s="162"/>
      <c r="L86" s="260"/>
      <c r="M86" s="260"/>
      <c r="N86" s="250"/>
      <c r="O86" s="251"/>
      <c r="P86" s="127"/>
      <c r="Q86" s="162"/>
      <c r="R86" s="162"/>
      <c r="S86" s="162"/>
    </row>
    <row r="87" spans="1:19" ht="12.75" customHeight="1">
      <c r="A87" s="108"/>
      <c r="B87" s="128"/>
      <c r="C87" s="120"/>
      <c r="D87" s="162"/>
      <c r="E87" s="162"/>
      <c r="F87" s="162"/>
      <c r="G87" s="162"/>
      <c r="H87" s="162"/>
      <c r="I87" s="162"/>
      <c r="J87" s="120"/>
      <c r="K87" s="162"/>
      <c r="L87" s="260"/>
      <c r="M87" s="260"/>
      <c r="N87" s="250"/>
      <c r="O87" s="251"/>
      <c r="P87" s="121"/>
      <c r="R87" s="251"/>
    </row>
    <row r="88" spans="1:19" ht="12.75" customHeight="1">
      <c r="A88" s="108"/>
      <c r="B88" s="128"/>
      <c r="C88" s="120"/>
      <c r="D88" s="162"/>
      <c r="E88" s="162"/>
      <c r="F88" s="162"/>
      <c r="G88" s="162"/>
      <c r="H88" s="162"/>
      <c r="I88" s="162"/>
      <c r="J88" s="120"/>
      <c r="K88" s="162"/>
      <c r="L88" s="260"/>
      <c r="M88" s="260"/>
      <c r="N88" s="250"/>
      <c r="O88" s="251"/>
      <c r="P88" s="121"/>
    </row>
    <row r="89" spans="1:19" ht="12.75" customHeight="1">
      <c r="A89" s="108"/>
      <c r="B89" s="128"/>
      <c r="C89" s="120"/>
      <c r="D89" s="162"/>
      <c r="E89" s="162"/>
      <c r="F89" s="162"/>
      <c r="G89" s="162"/>
      <c r="H89" s="162"/>
      <c r="I89" s="162"/>
      <c r="J89" s="120"/>
      <c r="K89" s="162"/>
      <c r="L89" s="260"/>
      <c r="M89" s="260"/>
      <c r="N89" s="250"/>
      <c r="O89" s="251"/>
      <c r="P89" s="121"/>
      <c r="Q89" s="251"/>
    </row>
    <row r="90" spans="1:19" ht="12.75" customHeight="1">
      <c r="A90" s="108"/>
      <c r="B90" s="128"/>
      <c r="C90" s="120"/>
      <c r="D90" s="162"/>
      <c r="E90" s="162"/>
      <c r="F90" s="162"/>
      <c r="G90" s="162"/>
      <c r="H90" s="162"/>
      <c r="I90" s="162"/>
      <c r="J90" s="120"/>
      <c r="K90" s="162"/>
      <c r="L90" s="260"/>
      <c r="M90" s="260"/>
      <c r="N90" s="250"/>
      <c r="O90" s="251"/>
      <c r="P90" s="121"/>
      <c r="Q90" s="251"/>
    </row>
    <row r="91" spans="1:19" ht="12.75" customHeight="1">
      <c r="A91" s="108"/>
      <c r="B91" s="128"/>
      <c r="C91" s="120"/>
      <c r="D91" s="162"/>
      <c r="E91" s="162"/>
      <c r="F91" s="162"/>
      <c r="G91" s="162"/>
      <c r="H91" s="162"/>
      <c r="I91" s="162"/>
      <c r="J91" s="120"/>
      <c r="K91" s="162"/>
      <c r="L91" s="260"/>
      <c r="M91" s="260"/>
      <c r="N91" s="250"/>
      <c r="O91" s="251"/>
      <c r="P91" s="121"/>
      <c r="Q91" s="251"/>
    </row>
    <row r="92" spans="1:19" ht="12.75" customHeight="1">
      <c r="A92" s="108"/>
      <c r="B92" s="128"/>
      <c r="C92" s="120"/>
      <c r="D92" s="162"/>
      <c r="E92" s="162"/>
      <c r="F92" s="162"/>
      <c r="G92" s="162"/>
      <c r="H92" s="162"/>
      <c r="I92" s="162"/>
      <c r="J92" s="120"/>
      <c r="K92" s="162"/>
      <c r="L92" s="260"/>
      <c r="M92" s="260"/>
      <c r="N92" s="250"/>
      <c r="O92" s="251"/>
      <c r="P92" s="121"/>
      <c r="Q92" s="251"/>
    </row>
    <row r="93" spans="1:19" ht="12.75" customHeight="1">
      <c r="A93" s="108"/>
      <c r="B93" s="128"/>
      <c r="C93" s="120"/>
      <c r="D93" s="162"/>
      <c r="E93" s="162"/>
      <c r="F93" s="162"/>
      <c r="G93" s="162"/>
      <c r="H93" s="162"/>
      <c r="I93" s="162"/>
      <c r="J93" s="120"/>
      <c r="K93" s="162"/>
      <c r="L93" s="260"/>
      <c r="M93" s="260"/>
      <c r="N93" s="250"/>
      <c r="O93" s="251"/>
      <c r="P93" s="121"/>
      <c r="Q93" s="251"/>
    </row>
    <row r="94" spans="1:19" ht="12.75" customHeight="1">
      <c r="A94" s="108"/>
      <c r="B94" s="128"/>
      <c r="C94" s="120"/>
      <c r="D94" s="162"/>
      <c r="E94" s="162"/>
      <c r="F94" s="162"/>
      <c r="G94" s="162"/>
      <c r="H94" s="162"/>
      <c r="I94" s="162"/>
      <c r="J94" s="120"/>
      <c r="K94" s="162"/>
      <c r="L94" s="260"/>
      <c r="M94" s="260"/>
      <c r="N94" s="250"/>
      <c r="O94" s="251"/>
      <c r="P94" s="121"/>
      <c r="Q94" s="251"/>
    </row>
    <row r="95" spans="1:19" ht="12.75" customHeight="1">
      <c r="A95" s="108"/>
      <c r="B95" s="128"/>
      <c r="C95" s="120"/>
      <c r="D95" s="162"/>
      <c r="E95" s="162"/>
      <c r="F95" s="162"/>
      <c r="G95" s="162"/>
      <c r="H95" s="162"/>
      <c r="I95" s="162"/>
      <c r="J95" s="120"/>
      <c r="K95" s="162"/>
      <c r="L95" s="260"/>
      <c r="M95" s="260"/>
      <c r="N95" s="250"/>
      <c r="O95" s="251"/>
      <c r="P95" s="121"/>
      <c r="Q95" s="251"/>
    </row>
    <row r="96" spans="1:19" ht="12.75" customHeight="1">
      <c r="A96" s="108"/>
      <c r="B96" s="128"/>
      <c r="C96" s="120"/>
      <c r="D96" s="162"/>
      <c r="E96" s="162"/>
      <c r="F96" s="162"/>
      <c r="G96" s="162"/>
      <c r="H96" s="162"/>
      <c r="I96" s="162"/>
      <c r="J96" s="120"/>
      <c r="K96" s="162"/>
      <c r="L96" s="260"/>
      <c r="M96" s="260"/>
      <c r="N96" s="250"/>
      <c r="O96" s="251"/>
      <c r="P96" s="121"/>
      <c r="Q96" s="251"/>
    </row>
    <row r="97" spans="1:17" ht="12.75" customHeight="1">
      <c r="A97" s="108"/>
      <c r="B97" s="128"/>
      <c r="C97" s="120"/>
      <c r="D97" s="162"/>
      <c r="E97" s="162"/>
      <c r="F97" s="162"/>
      <c r="G97" s="162"/>
      <c r="H97" s="162"/>
      <c r="I97" s="162"/>
      <c r="J97" s="120"/>
      <c r="K97" s="162"/>
      <c r="L97" s="260"/>
      <c r="M97" s="260"/>
      <c r="N97" s="250"/>
      <c r="O97" s="251"/>
      <c r="P97" s="121"/>
      <c r="Q97" s="251"/>
    </row>
    <row r="98" spans="1:17" ht="12.75" customHeight="1">
      <c r="A98" s="108"/>
      <c r="B98" s="128"/>
      <c r="C98" s="120"/>
      <c r="D98" s="162"/>
      <c r="E98" s="162"/>
      <c r="F98" s="162"/>
      <c r="G98" s="162"/>
      <c r="H98" s="162"/>
      <c r="I98" s="162"/>
      <c r="J98" s="120"/>
      <c r="K98" s="162"/>
      <c r="L98" s="260"/>
      <c r="M98" s="260"/>
      <c r="N98" s="250"/>
      <c r="O98" s="251"/>
      <c r="P98" s="121"/>
      <c r="Q98" s="251"/>
    </row>
    <row r="99" spans="1:17" ht="12.75" customHeight="1">
      <c r="A99" s="108"/>
      <c r="B99" s="128"/>
      <c r="C99" s="120"/>
      <c r="D99" s="162"/>
      <c r="E99" s="162"/>
      <c r="F99" s="162"/>
      <c r="G99" s="162"/>
      <c r="H99" s="162"/>
      <c r="I99" s="162"/>
      <c r="J99" s="120"/>
      <c r="K99" s="162"/>
      <c r="L99" s="260"/>
      <c r="M99" s="260"/>
      <c r="N99" s="250"/>
      <c r="O99" s="251"/>
      <c r="P99" s="121"/>
      <c r="Q99" s="251"/>
    </row>
    <row r="100" spans="1:17" ht="12.75" customHeight="1">
      <c r="A100" s="108"/>
      <c r="B100" s="128"/>
      <c r="C100" s="120"/>
      <c r="D100" s="162"/>
      <c r="E100" s="162"/>
      <c r="F100" s="162"/>
      <c r="G100" s="162"/>
      <c r="H100" s="162"/>
      <c r="I100" s="162"/>
      <c r="J100" s="120"/>
      <c r="K100" s="162"/>
      <c r="L100" s="260"/>
      <c r="M100" s="260"/>
      <c r="N100" s="250"/>
      <c r="O100" s="251"/>
      <c r="P100" s="121"/>
      <c r="Q100" s="251"/>
    </row>
    <row r="101" spans="1:17" ht="12.75" customHeight="1">
      <c r="A101" s="108"/>
      <c r="B101" s="128"/>
      <c r="C101" s="120"/>
      <c r="D101" s="162"/>
      <c r="E101" s="162"/>
      <c r="F101" s="162"/>
      <c r="G101" s="162"/>
      <c r="H101" s="162"/>
      <c r="I101" s="162"/>
      <c r="J101" s="120"/>
      <c r="K101" s="162"/>
      <c r="L101" s="260"/>
      <c r="M101" s="260"/>
      <c r="N101" s="250"/>
      <c r="O101" s="251"/>
      <c r="P101" s="121"/>
      <c r="Q101" s="251"/>
    </row>
    <row r="102" spans="1:17" ht="12.75" customHeight="1">
      <c r="A102" s="108"/>
      <c r="B102" s="128"/>
      <c r="C102" s="120"/>
      <c r="D102" s="162"/>
      <c r="E102" s="162"/>
      <c r="F102" s="162"/>
      <c r="G102" s="162"/>
      <c r="H102" s="162"/>
      <c r="I102" s="162"/>
      <c r="J102" s="120"/>
      <c r="K102" s="162"/>
      <c r="L102" s="260"/>
      <c r="M102" s="260"/>
      <c r="N102" s="250"/>
      <c r="O102" s="251"/>
      <c r="P102" s="121"/>
      <c r="Q102" s="251"/>
    </row>
    <row r="103" spans="1:17" ht="12.75" customHeight="1">
      <c r="A103" s="108"/>
      <c r="B103" s="128"/>
      <c r="C103" s="120"/>
      <c r="D103" s="162"/>
      <c r="E103" s="162"/>
      <c r="F103" s="162"/>
      <c r="G103" s="162"/>
      <c r="H103" s="162"/>
      <c r="I103" s="162"/>
      <c r="J103" s="120"/>
      <c r="K103" s="162"/>
      <c r="L103" s="260"/>
      <c r="M103" s="260"/>
      <c r="N103" s="250"/>
      <c r="O103" s="251"/>
      <c r="P103" s="121"/>
      <c r="Q103" s="251"/>
    </row>
    <row r="104" spans="1:17" ht="12.75" customHeight="1">
      <c r="A104" s="108"/>
      <c r="B104" s="128"/>
      <c r="C104" s="120"/>
      <c r="D104" s="162"/>
      <c r="E104" s="162"/>
      <c r="F104" s="162"/>
      <c r="G104" s="162"/>
      <c r="H104" s="162"/>
      <c r="I104" s="162"/>
      <c r="J104" s="120"/>
      <c r="K104" s="162"/>
      <c r="L104" s="260"/>
      <c r="M104" s="260"/>
      <c r="N104" s="250"/>
      <c r="O104" s="251"/>
      <c r="P104" s="121"/>
      <c r="Q104" s="251"/>
    </row>
    <row r="105" spans="1:17" ht="12.75" customHeight="1">
      <c r="A105" s="108"/>
      <c r="B105" s="128"/>
      <c r="C105" s="120"/>
      <c r="D105" s="162"/>
      <c r="E105" s="162"/>
      <c r="F105" s="162"/>
      <c r="G105" s="162"/>
      <c r="H105" s="162"/>
      <c r="I105" s="162"/>
      <c r="J105" s="120"/>
      <c r="K105" s="162"/>
      <c r="L105" s="260"/>
      <c r="M105" s="260"/>
      <c r="N105" s="250"/>
      <c r="O105" s="251"/>
      <c r="P105" s="121"/>
      <c r="Q105" s="251"/>
    </row>
    <row r="106" spans="1:17" ht="12.75" customHeight="1">
      <c r="A106" s="108"/>
      <c r="B106" s="128"/>
      <c r="C106" s="120"/>
      <c r="D106" s="162"/>
      <c r="E106" s="162"/>
      <c r="F106" s="162"/>
      <c r="G106" s="162"/>
      <c r="H106" s="162"/>
      <c r="I106" s="162"/>
      <c r="J106" s="120"/>
      <c r="K106" s="162"/>
      <c r="L106" s="260"/>
      <c r="M106" s="260"/>
      <c r="N106" s="250"/>
      <c r="O106" s="251"/>
      <c r="P106" s="121"/>
      <c r="Q106" s="251"/>
    </row>
    <row r="107" spans="1:17" ht="12.75" customHeight="1">
      <c r="A107" s="108"/>
      <c r="B107" s="128"/>
      <c r="C107" s="120"/>
      <c r="D107" s="162"/>
      <c r="E107" s="162"/>
      <c r="F107" s="162"/>
      <c r="G107" s="162"/>
      <c r="H107" s="162"/>
      <c r="I107" s="162"/>
      <c r="J107" s="120"/>
      <c r="K107" s="162"/>
      <c r="L107" s="260"/>
      <c r="M107" s="260"/>
      <c r="N107" s="250"/>
      <c r="O107" s="251"/>
      <c r="P107" s="121"/>
      <c r="Q107" s="251"/>
    </row>
    <row r="108" spans="1:17" ht="12.75" customHeight="1">
      <c r="A108" s="108"/>
      <c r="B108" s="128"/>
      <c r="C108" s="120"/>
      <c r="D108" s="162"/>
      <c r="E108" s="162"/>
      <c r="F108" s="162"/>
      <c r="G108" s="162"/>
      <c r="H108" s="162"/>
      <c r="I108" s="162"/>
      <c r="J108" s="120"/>
      <c r="K108" s="162"/>
      <c r="L108" s="260"/>
      <c r="M108" s="260"/>
      <c r="N108" s="250"/>
      <c r="O108" s="251"/>
      <c r="P108" s="121"/>
      <c r="Q108" s="251"/>
    </row>
    <row r="109" spans="1:17" ht="12.75" customHeight="1">
      <c r="A109" s="108"/>
      <c r="B109" s="128"/>
      <c r="C109" s="120"/>
      <c r="D109" s="162"/>
      <c r="E109" s="162"/>
      <c r="F109" s="162"/>
      <c r="G109" s="162"/>
      <c r="H109" s="162"/>
      <c r="I109" s="162"/>
      <c r="J109" s="120"/>
      <c r="K109" s="162"/>
      <c r="L109" s="260"/>
      <c r="M109" s="260"/>
      <c r="N109" s="250"/>
      <c r="O109" s="251"/>
      <c r="P109" s="121"/>
      <c r="Q109" s="251"/>
    </row>
    <row r="110" spans="1:17" ht="12.75" customHeight="1">
      <c r="A110" s="108"/>
      <c r="B110" s="128"/>
      <c r="C110" s="120"/>
      <c r="D110" s="162"/>
      <c r="E110" s="162"/>
      <c r="F110" s="162"/>
      <c r="G110" s="162"/>
      <c r="H110" s="162"/>
      <c r="I110" s="162"/>
      <c r="J110" s="120"/>
      <c r="K110" s="162"/>
      <c r="L110" s="260"/>
      <c r="M110" s="260"/>
      <c r="N110" s="250"/>
      <c r="O110" s="251"/>
      <c r="P110" s="121"/>
      <c r="Q110" s="251"/>
    </row>
    <row r="111" spans="1:17" ht="12.75" customHeight="1">
      <c r="A111" s="108"/>
      <c r="B111" s="128"/>
      <c r="C111" s="120"/>
      <c r="D111" s="162"/>
      <c r="E111" s="162"/>
      <c r="F111" s="162"/>
      <c r="G111" s="162"/>
      <c r="H111" s="162"/>
      <c r="I111" s="162"/>
      <c r="J111" s="120"/>
      <c r="K111" s="162"/>
      <c r="L111" s="260"/>
      <c r="M111" s="260"/>
      <c r="N111" s="250"/>
      <c r="O111" s="251"/>
      <c r="P111" s="121"/>
      <c r="Q111" s="251"/>
    </row>
    <row r="112" spans="1:17" ht="12.75" customHeight="1">
      <c r="A112" s="108"/>
      <c r="B112" s="128"/>
      <c r="C112" s="120"/>
      <c r="D112" s="162"/>
      <c r="E112" s="162"/>
      <c r="F112" s="162"/>
      <c r="G112" s="162"/>
      <c r="H112" s="162"/>
      <c r="I112" s="162"/>
      <c r="J112" s="120"/>
      <c r="K112" s="162"/>
      <c r="L112" s="260"/>
      <c r="M112" s="260"/>
      <c r="N112" s="250"/>
      <c r="O112" s="251"/>
      <c r="P112" s="121"/>
      <c r="Q112" s="251"/>
    </row>
    <row r="113" spans="1:17" ht="12.75" customHeight="1">
      <c r="A113" s="108"/>
      <c r="B113" s="128"/>
      <c r="C113" s="120"/>
      <c r="D113" s="162"/>
      <c r="E113" s="162"/>
      <c r="F113" s="162"/>
      <c r="G113" s="162"/>
      <c r="H113" s="162"/>
      <c r="I113" s="162"/>
      <c r="J113" s="120"/>
      <c r="K113" s="162"/>
      <c r="L113" s="260"/>
      <c r="M113" s="260"/>
      <c r="N113" s="250"/>
      <c r="O113" s="251"/>
      <c r="P113" s="121"/>
      <c r="Q113" s="251"/>
    </row>
    <row r="114" spans="1:17" ht="12.75" customHeight="1">
      <c r="A114" s="108"/>
      <c r="B114" s="128"/>
      <c r="C114" s="120"/>
      <c r="D114" s="162"/>
      <c r="E114" s="162"/>
      <c r="F114" s="162"/>
      <c r="G114" s="162"/>
      <c r="H114" s="162"/>
      <c r="I114" s="162"/>
      <c r="J114" s="120"/>
      <c r="K114" s="162"/>
      <c r="L114" s="260"/>
      <c r="M114" s="260"/>
      <c r="N114" s="250"/>
      <c r="O114" s="251"/>
      <c r="P114" s="121"/>
      <c r="Q114" s="251"/>
    </row>
    <row r="115" spans="1:17" ht="12.75" customHeight="1">
      <c r="A115" s="108"/>
      <c r="B115" s="128"/>
      <c r="C115" s="120"/>
      <c r="D115" s="162"/>
      <c r="E115" s="162"/>
      <c r="F115" s="162"/>
      <c r="G115" s="162"/>
      <c r="H115" s="162"/>
      <c r="I115" s="162"/>
      <c r="J115" s="120"/>
      <c r="K115" s="162"/>
      <c r="L115" s="260"/>
      <c r="M115" s="260"/>
      <c r="N115" s="250"/>
      <c r="O115" s="251"/>
      <c r="P115" s="121"/>
      <c r="Q115" s="251"/>
    </row>
    <row r="116" spans="1:17" ht="12.75" customHeight="1">
      <c r="A116" s="108"/>
      <c r="B116" s="128"/>
      <c r="C116" s="120"/>
      <c r="D116" s="162"/>
      <c r="E116" s="162"/>
      <c r="F116" s="162"/>
      <c r="G116" s="162"/>
      <c r="H116" s="162"/>
      <c r="I116" s="162"/>
      <c r="J116" s="120"/>
      <c r="K116" s="162"/>
      <c r="L116" s="260"/>
      <c r="M116" s="260"/>
      <c r="N116" s="250"/>
      <c r="O116" s="251"/>
      <c r="P116" s="121"/>
      <c r="Q116" s="251"/>
    </row>
    <row r="117" spans="1:17" ht="12.75" customHeight="1">
      <c r="A117" s="108"/>
      <c r="B117" s="128"/>
      <c r="C117" s="120"/>
      <c r="D117" s="162"/>
      <c r="E117" s="162"/>
      <c r="F117" s="162"/>
      <c r="G117" s="162"/>
      <c r="H117" s="162"/>
      <c r="I117" s="162"/>
      <c r="J117" s="120"/>
      <c r="K117" s="162"/>
      <c r="L117" s="260"/>
      <c r="M117" s="260"/>
      <c r="N117" s="250"/>
      <c r="O117" s="251"/>
      <c r="P117" s="121"/>
      <c r="Q117" s="251"/>
    </row>
    <row r="118" spans="1:17" ht="12.75" customHeight="1">
      <c r="A118" s="108"/>
      <c r="B118" s="128"/>
      <c r="C118" s="120"/>
      <c r="D118" s="162"/>
      <c r="E118" s="162"/>
      <c r="F118" s="162"/>
      <c r="G118" s="162"/>
      <c r="H118" s="162"/>
      <c r="I118" s="162"/>
      <c r="J118" s="120"/>
      <c r="K118" s="162"/>
      <c r="L118" s="260"/>
      <c r="M118" s="260"/>
      <c r="N118" s="250"/>
      <c r="O118" s="251"/>
      <c r="P118" s="121"/>
      <c r="Q118" s="251"/>
    </row>
    <row r="119" spans="1:17" ht="12.75" customHeight="1">
      <c r="A119" s="108"/>
      <c r="B119" s="128"/>
      <c r="C119" s="120"/>
      <c r="D119" s="162"/>
      <c r="E119" s="162"/>
      <c r="F119" s="162"/>
      <c r="G119" s="162"/>
      <c r="H119" s="162"/>
      <c r="I119" s="162"/>
      <c r="J119" s="120"/>
      <c r="K119" s="162"/>
      <c r="L119" s="260"/>
      <c r="M119" s="260"/>
      <c r="N119" s="250"/>
      <c r="O119" s="251"/>
      <c r="P119" s="121"/>
      <c r="Q119" s="251"/>
    </row>
    <row r="120" spans="1:17" ht="12.75" customHeight="1">
      <c r="A120" s="108"/>
      <c r="B120" s="128"/>
      <c r="C120" s="120"/>
      <c r="D120" s="162"/>
      <c r="E120" s="162"/>
      <c r="F120" s="162"/>
      <c r="G120" s="162"/>
      <c r="H120" s="162"/>
      <c r="I120" s="162"/>
      <c r="J120" s="120"/>
      <c r="K120" s="162"/>
      <c r="L120" s="260"/>
      <c r="M120" s="260"/>
      <c r="N120" s="250"/>
      <c r="O120" s="251"/>
      <c r="P120" s="121"/>
      <c r="Q120" s="251"/>
    </row>
    <row r="121" spans="1:17" ht="12.75" customHeight="1">
      <c r="A121" s="108"/>
      <c r="B121" s="128"/>
      <c r="C121" s="120"/>
      <c r="D121" s="162"/>
      <c r="E121" s="162"/>
      <c r="F121" s="162"/>
      <c r="G121" s="162"/>
      <c r="H121" s="162"/>
      <c r="I121" s="162"/>
      <c r="J121" s="120"/>
      <c r="K121" s="162"/>
      <c r="L121" s="260"/>
      <c r="M121" s="260"/>
      <c r="N121" s="250"/>
      <c r="O121" s="251"/>
      <c r="P121" s="121"/>
      <c r="Q121" s="251"/>
    </row>
    <row r="122" spans="1:17" ht="12.75" customHeight="1">
      <c r="A122" s="108"/>
      <c r="B122" s="128"/>
      <c r="C122" s="120"/>
      <c r="D122" s="162"/>
      <c r="E122" s="162"/>
      <c r="F122" s="162"/>
      <c r="G122" s="162"/>
      <c r="H122" s="162"/>
      <c r="I122" s="162"/>
      <c r="J122" s="120"/>
      <c r="K122" s="162"/>
      <c r="L122" s="260"/>
      <c r="M122" s="260"/>
      <c r="N122" s="250"/>
      <c r="O122" s="251"/>
      <c r="P122" s="121"/>
      <c r="Q122" s="251"/>
    </row>
    <row r="123" spans="1:17" ht="12.75" customHeight="1">
      <c r="A123" s="108"/>
      <c r="B123" s="128"/>
      <c r="C123" s="120"/>
      <c r="D123" s="162"/>
      <c r="E123" s="162"/>
      <c r="F123" s="162"/>
      <c r="G123" s="162"/>
      <c r="H123" s="162"/>
      <c r="I123" s="162"/>
      <c r="J123" s="120"/>
      <c r="K123" s="162"/>
      <c r="L123" s="260"/>
      <c r="M123" s="260"/>
      <c r="N123" s="250"/>
      <c r="O123" s="251"/>
      <c r="P123" s="121"/>
      <c r="Q123" s="251"/>
    </row>
    <row r="124" spans="1:17" ht="12.75" customHeight="1">
      <c r="A124" s="108"/>
      <c r="B124" s="128"/>
      <c r="C124" s="120"/>
      <c r="D124" s="162"/>
      <c r="E124" s="162"/>
      <c r="F124" s="162"/>
      <c r="G124" s="162"/>
      <c r="H124" s="162"/>
      <c r="I124" s="162"/>
      <c r="J124" s="120"/>
      <c r="K124" s="162"/>
      <c r="L124" s="260"/>
      <c r="M124" s="260"/>
      <c r="N124" s="250"/>
      <c r="O124" s="251"/>
      <c r="P124" s="121"/>
      <c r="Q124" s="251"/>
    </row>
    <row r="125" spans="1:17" ht="12.75" customHeight="1">
      <c r="A125" s="108"/>
      <c r="B125" s="128"/>
      <c r="C125" s="120"/>
      <c r="D125" s="162"/>
      <c r="E125" s="162"/>
      <c r="F125" s="162"/>
      <c r="G125" s="162"/>
      <c r="H125" s="162"/>
      <c r="I125" s="162"/>
      <c r="J125" s="120"/>
      <c r="K125" s="162"/>
      <c r="L125" s="260"/>
      <c r="M125" s="260"/>
      <c r="N125" s="250"/>
      <c r="O125" s="251"/>
      <c r="P125" s="121"/>
      <c r="Q125" s="251"/>
    </row>
    <row r="126" spans="1:17" ht="12.75" customHeight="1">
      <c r="A126" s="108"/>
      <c r="B126" s="128"/>
      <c r="C126" s="120"/>
      <c r="D126" s="162"/>
      <c r="E126" s="162"/>
      <c r="F126" s="162"/>
      <c r="G126" s="162"/>
      <c r="H126" s="162"/>
      <c r="I126" s="162"/>
      <c r="J126" s="120"/>
      <c r="K126" s="162"/>
      <c r="L126" s="260"/>
      <c r="M126" s="260"/>
      <c r="N126" s="250"/>
      <c r="O126" s="251"/>
      <c r="P126" s="121"/>
      <c r="Q126" s="251"/>
    </row>
    <row r="127" spans="1:17" ht="12.75" customHeight="1">
      <c r="A127" s="108"/>
      <c r="B127" s="128"/>
      <c r="C127" s="120"/>
      <c r="D127" s="162"/>
      <c r="E127" s="162"/>
      <c r="F127" s="162"/>
      <c r="G127" s="162"/>
      <c r="H127" s="162"/>
      <c r="I127" s="162"/>
      <c r="J127" s="120"/>
      <c r="K127" s="162"/>
      <c r="L127" s="260"/>
      <c r="M127" s="260"/>
      <c r="N127" s="250"/>
      <c r="O127" s="251"/>
      <c r="P127" s="121"/>
      <c r="Q127" s="251"/>
    </row>
    <row r="128" spans="1:17" ht="12.75" customHeight="1">
      <c r="A128" s="108"/>
      <c r="B128" s="128"/>
      <c r="C128" s="120"/>
      <c r="D128" s="162"/>
      <c r="E128" s="162"/>
      <c r="F128" s="162"/>
      <c r="G128" s="162"/>
      <c r="H128" s="162"/>
      <c r="I128" s="162"/>
      <c r="J128" s="120"/>
      <c r="K128" s="162"/>
      <c r="L128" s="260"/>
      <c r="M128" s="260"/>
      <c r="N128" s="250"/>
      <c r="O128" s="251"/>
      <c r="P128" s="121"/>
      <c r="Q128" s="251"/>
    </row>
    <row r="129" spans="1:17" ht="12.75" customHeight="1">
      <c r="A129" s="108"/>
      <c r="B129" s="128"/>
      <c r="C129" s="120"/>
      <c r="D129" s="251"/>
      <c r="E129" s="251"/>
      <c r="F129" s="251"/>
      <c r="G129" s="251"/>
      <c r="H129" s="251"/>
      <c r="I129" s="251"/>
      <c r="J129" s="251"/>
      <c r="K129" s="162"/>
      <c r="L129" s="260"/>
      <c r="M129" s="260"/>
      <c r="N129" s="250"/>
      <c r="O129" s="251"/>
      <c r="P129" s="121"/>
      <c r="Q129" s="251"/>
    </row>
    <row r="130" spans="1:17" ht="12.75" customHeight="1">
      <c r="A130" s="108"/>
      <c r="B130" s="128"/>
      <c r="C130" s="120"/>
      <c r="D130" s="251"/>
      <c r="E130" s="251"/>
      <c r="F130" s="251"/>
      <c r="G130" s="251"/>
      <c r="H130" s="251"/>
      <c r="I130" s="251"/>
      <c r="J130" s="251"/>
      <c r="K130" s="162"/>
      <c r="L130" s="260"/>
      <c r="M130" s="260"/>
      <c r="N130" s="250"/>
      <c r="O130" s="251"/>
      <c r="P130" s="121"/>
      <c r="Q130" s="251"/>
    </row>
    <row r="131" spans="1:17" ht="12.75" customHeight="1">
      <c r="A131" s="108"/>
      <c r="B131" s="128"/>
      <c r="C131" s="120"/>
      <c r="D131" s="251"/>
      <c r="E131" s="251"/>
      <c r="F131" s="251"/>
      <c r="G131" s="251"/>
      <c r="H131" s="251"/>
      <c r="I131" s="251"/>
      <c r="J131" s="251"/>
      <c r="K131" s="162"/>
      <c r="L131" s="260"/>
      <c r="M131" s="260"/>
      <c r="N131" s="250"/>
      <c r="O131" s="251"/>
      <c r="P131" s="121"/>
      <c r="Q131" s="251"/>
    </row>
    <row r="132" spans="1:17" ht="12.75" customHeight="1">
      <c r="A132" s="108"/>
      <c r="B132" s="128"/>
      <c r="C132" s="120"/>
      <c r="D132" s="251"/>
      <c r="E132" s="251"/>
      <c r="F132" s="251"/>
      <c r="G132" s="251"/>
      <c r="H132" s="251"/>
      <c r="I132" s="251"/>
      <c r="J132" s="251"/>
      <c r="K132" s="162"/>
      <c r="L132" s="260"/>
      <c r="M132" s="260"/>
      <c r="N132" s="250"/>
      <c r="O132" s="251"/>
      <c r="P132" s="121"/>
      <c r="Q132" s="251"/>
    </row>
    <row r="133" spans="1:17" ht="12.75" customHeight="1">
      <c r="A133" s="108"/>
      <c r="B133" s="128"/>
      <c r="C133" s="120"/>
      <c r="D133" s="251"/>
      <c r="E133" s="251"/>
      <c r="F133" s="251"/>
      <c r="G133" s="251"/>
      <c r="H133" s="251"/>
      <c r="I133" s="251"/>
      <c r="J133" s="251"/>
      <c r="K133" s="162"/>
      <c r="L133" s="260"/>
      <c r="M133" s="260"/>
      <c r="N133" s="250"/>
      <c r="O133" s="251"/>
      <c r="P133" s="121"/>
      <c r="Q133" s="251"/>
    </row>
    <row r="134" spans="1:17" ht="12.75" customHeight="1">
      <c r="A134" s="108"/>
      <c r="B134" s="128"/>
      <c r="C134" s="120"/>
      <c r="D134" s="251"/>
      <c r="E134" s="251"/>
      <c r="F134" s="251"/>
      <c r="G134" s="251"/>
      <c r="H134" s="251"/>
      <c r="I134" s="251"/>
      <c r="J134" s="251"/>
      <c r="K134" s="162"/>
      <c r="L134" s="260"/>
      <c r="M134" s="260"/>
      <c r="N134" s="250"/>
      <c r="O134" s="251"/>
      <c r="P134" s="121"/>
      <c r="Q134" s="251"/>
    </row>
    <row r="135" spans="1:17" ht="12.75" customHeight="1">
      <c r="A135" s="108"/>
      <c r="B135" s="128"/>
      <c r="C135" s="120"/>
      <c r="D135" s="251"/>
      <c r="E135" s="251"/>
      <c r="F135" s="251"/>
      <c r="G135" s="251"/>
      <c r="H135" s="251"/>
      <c r="I135" s="251"/>
      <c r="J135" s="251"/>
      <c r="K135" s="162"/>
      <c r="L135" s="260"/>
      <c r="M135" s="260"/>
      <c r="N135" s="250"/>
      <c r="O135" s="251"/>
      <c r="P135" s="121"/>
      <c r="Q135" s="251"/>
    </row>
    <row r="136" spans="1:17" ht="12.75" customHeight="1">
      <c r="A136" s="108"/>
      <c r="B136" s="128"/>
      <c r="C136" s="120"/>
      <c r="D136" s="251"/>
      <c r="E136" s="251"/>
      <c r="F136" s="251"/>
      <c r="G136" s="251"/>
      <c r="H136" s="251"/>
      <c r="I136" s="251"/>
      <c r="J136" s="251"/>
      <c r="K136" s="162"/>
      <c r="L136" s="260"/>
      <c r="M136" s="260"/>
      <c r="N136" s="250"/>
      <c r="O136" s="251"/>
      <c r="P136" s="121"/>
      <c r="Q136" s="251"/>
    </row>
    <row r="137" spans="1:17" ht="12.75" customHeight="1">
      <c r="A137" s="108"/>
      <c r="B137" s="128"/>
      <c r="C137" s="120"/>
      <c r="D137" s="251"/>
      <c r="E137" s="251"/>
      <c r="F137" s="251"/>
      <c r="G137" s="251"/>
      <c r="H137" s="251"/>
      <c r="I137" s="251"/>
      <c r="J137" s="251"/>
      <c r="K137" s="162"/>
      <c r="L137" s="260"/>
      <c r="M137" s="260"/>
      <c r="N137" s="250"/>
      <c r="O137" s="251"/>
      <c r="P137" s="121"/>
      <c r="Q137" s="251"/>
    </row>
    <row r="138" spans="1:17" ht="12.75" customHeight="1">
      <c r="A138" s="108"/>
      <c r="B138" s="128"/>
      <c r="C138" s="120"/>
      <c r="D138" s="251"/>
      <c r="E138" s="251"/>
      <c r="F138" s="251"/>
      <c r="G138" s="251"/>
      <c r="H138" s="251"/>
      <c r="I138" s="251"/>
      <c r="J138" s="251"/>
      <c r="K138" s="162"/>
      <c r="L138" s="260"/>
      <c r="M138" s="260"/>
      <c r="N138" s="250"/>
      <c r="O138" s="251"/>
      <c r="P138" s="121"/>
      <c r="Q138" s="251"/>
    </row>
    <row r="139" spans="1:17" ht="12.75" customHeight="1">
      <c r="A139" s="108"/>
      <c r="B139" s="128"/>
      <c r="C139" s="120"/>
      <c r="D139" s="251"/>
      <c r="E139" s="251"/>
      <c r="F139" s="251"/>
      <c r="G139" s="251"/>
      <c r="H139" s="251"/>
      <c r="I139" s="251"/>
      <c r="J139" s="251"/>
      <c r="K139" s="162"/>
      <c r="L139" s="260"/>
      <c r="M139" s="260"/>
      <c r="N139" s="250"/>
      <c r="O139" s="251"/>
      <c r="P139" s="121"/>
      <c r="Q139" s="251"/>
    </row>
    <row r="140" spans="1:17" ht="12.75" customHeight="1">
      <c r="A140" s="108"/>
      <c r="B140" s="122"/>
      <c r="C140" s="121"/>
      <c r="D140" s="121"/>
      <c r="E140" s="121"/>
      <c r="F140" s="121"/>
      <c r="G140" s="121"/>
      <c r="H140" s="232"/>
      <c r="I140" s="121"/>
      <c r="J140" s="120"/>
      <c r="K140" s="120"/>
      <c r="L140" s="121"/>
      <c r="M140" s="121"/>
      <c r="N140" s="127"/>
      <c r="P140" s="121"/>
      <c r="Q140" s="121"/>
    </row>
    <row r="141" spans="1:17" ht="12.75" customHeight="1">
      <c r="A141" s="108"/>
      <c r="B141" s="122"/>
      <c r="C141" s="121"/>
      <c r="D141" s="121"/>
      <c r="E141" s="121"/>
      <c r="F141" s="121"/>
      <c r="G141" s="121"/>
      <c r="H141" s="232"/>
      <c r="I141" s="121"/>
      <c r="J141" s="120"/>
      <c r="K141" s="120"/>
      <c r="L141" s="121"/>
      <c r="M141" s="121"/>
      <c r="N141" s="127"/>
      <c r="P141" s="121"/>
      <c r="Q141" s="121"/>
    </row>
    <row r="142" spans="1:17" ht="12.75" customHeight="1">
      <c r="A142" s="108"/>
      <c r="B142" s="122"/>
      <c r="C142" s="121"/>
      <c r="D142" s="121"/>
      <c r="E142" s="121"/>
      <c r="F142" s="121"/>
      <c r="G142" s="121"/>
      <c r="H142" s="232"/>
      <c r="I142" s="121"/>
      <c r="J142" s="120"/>
      <c r="K142" s="120"/>
      <c r="L142" s="121"/>
      <c r="M142" s="121"/>
      <c r="N142" s="127"/>
      <c r="P142" s="121"/>
      <c r="Q142" s="121"/>
    </row>
    <row r="143" spans="1:17" ht="12.75" customHeight="1">
      <c r="A143" s="108"/>
      <c r="B143" s="122"/>
      <c r="C143" s="121"/>
      <c r="D143" s="121"/>
      <c r="E143" s="121"/>
      <c r="F143" s="121"/>
      <c r="G143" s="121"/>
      <c r="H143" s="232"/>
      <c r="I143" s="121"/>
      <c r="J143" s="120"/>
      <c r="K143" s="120"/>
      <c r="L143" s="121"/>
      <c r="M143" s="121"/>
      <c r="N143" s="127"/>
      <c r="P143" s="121"/>
      <c r="Q143" s="121"/>
    </row>
    <row r="144" spans="1:17" ht="12.75" customHeight="1">
      <c r="A144" s="108"/>
      <c r="B144" s="122"/>
      <c r="C144" s="121"/>
      <c r="D144" s="121"/>
      <c r="E144" s="121"/>
      <c r="F144" s="121"/>
      <c r="G144" s="121"/>
      <c r="H144" s="232"/>
      <c r="I144" s="121"/>
      <c r="J144" s="120"/>
      <c r="K144" s="120"/>
      <c r="L144" s="121"/>
      <c r="M144" s="121"/>
      <c r="N144" s="127"/>
      <c r="P144" s="121"/>
      <c r="Q144" s="121"/>
    </row>
    <row r="145" spans="1:17" ht="12.75" customHeight="1">
      <c r="A145" s="108"/>
      <c r="B145" s="122"/>
      <c r="C145" s="121"/>
      <c r="D145" s="121"/>
      <c r="E145" s="121"/>
      <c r="F145" s="121"/>
      <c r="G145" s="121"/>
      <c r="H145" s="232"/>
      <c r="I145" s="121"/>
      <c r="J145" s="120"/>
      <c r="K145" s="120"/>
      <c r="L145" s="121"/>
      <c r="M145" s="121"/>
      <c r="N145" s="127"/>
      <c r="P145" s="121"/>
      <c r="Q145" s="121"/>
    </row>
    <row r="146" spans="1:17" ht="12.75" customHeight="1">
      <c r="A146" s="108"/>
      <c r="B146" s="122"/>
      <c r="C146" s="121"/>
      <c r="D146" s="121"/>
      <c r="E146" s="121"/>
      <c r="F146" s="121"/>
      <c r="G146" s="121"/>
      <c r="H146" s="232"/>
      <c r="I146" s="121"/>
      <c r="J146" s="120"/>
      <c r="K146" s="120"/>
      <c r="L146" s="121"/>
      <c r="M146" s="121"/>
      <c r="N146" s="127"/>
      <c r="P146" s="121"/>
      <c r="Q146" s="121"/>
    </row>
    <row r="147" spans="1:17" ht="12.75" customHeight="1">
      <c r="A147" s="108"/>
      <c r="B147" s="122"/>
      <c r="C147" s="121"/>
      <c r="D147" s="121"/>
      <c r="E147" s="121"/>
      <c r="F147" s="121"/>
      <c r="G147" s="121"/>
      <c r="H147" s="232"/>
      <c r="I147" s="121"/>
      <c r="J147" s="120"/>
      <c r="K147" s="120"/>
      <c r="L147" s="121"/>
      <c r="M147" s="121"/>
      <c r="N147" s="127"/>
      <c r="P147" s="121"/>
      <c r="Q147" s="121"/>
    </row>
    <row r="148" spans="1:17" ht="12.75" customHeight="1">
      <c r="A148" s="108"/>
      <c r="B148" s="122"/>
      <c r="C148" s="121"/>
      <c r="D148" s="121"/>
      <c r="E148" s="121"/>
      <c r="F148" s="121"/>
      <c r="G148" s="121"/>
      <c r="H148" s="232"/>
      <c r="I148" s="121"/>
      <c r="J148" s="120"/>
      <c r="K148" s="120"/>
      <c r="L148" s="121"/>
      <c r="M148" s="121"/>
      <c r="N148" s="127"/>
      <c r="P148" s="121"/>
      <c r="Q148" s="121"/>
    </row>
    <row r="149" spans="1:17" ht="12.75" customHeight="1">
      <c r="A149" s="108"/>
      <c r="B149" s="122"/>
      <c r="C149" s="121"/>
      <c r="D149" s="121"/>
      <c r="E149" s="121"/>
      <c r="F149" s="121"/>
      <c r="G149" s="121"/>
      <c r="H149" s="232"/>
      <c r="I149" s="121"/>
      <c r="J149" s="120"/>
      <c r="K149" s="120"/>
      <c r="L149" s="121"/>
      <c r="M149" s="121"/>
      <c r="N149" s="127"/>
      <c r="P149" s="121"/>
      <c r="Q149" s="121"/>
    </row>
    <row r="150" spans="1:17" ht="12.75" customHeight="1">
      <c r="A150" s="108"/>
      <c r="B150" s="122"/>
      <c r="C150" s="121"/>
      <c r="D150" s="121"/>
      <c r="E150" s="121"/>
      <c r="F150" s="121"/>
      <c r="G150" s="121"/>
      <c r="H150" s="232"/>
      <c r="I150" s="121"/>
      <c r="J150" s="120"/>
      <c r="K150" s="120"/>
      <c r="L150" s="121"/>
      <c r="M150" s="121"/>
      <c r="N150" s="127"/>
      <c r="P150" s="121"/>
      <c r="Q150" s="121"/>
    </row>
    <row r="151" spans="1:17" ht="12.75" customHeight="1">
      <c r="A151" s="108"/>
      <c r="B151" s="122"/>
      <c r="C151" s="121"/>
      <c r="D151" s="121"/>
      <c r="E151" s="121"/>
      <c r="F151" s="121"/>
      <c r="G151" s="121"/>
      <c r="H151" s="232"/>
      <c r="I151" s="121"/>
      <c r="J151" s="120"/>
      <c r="K151" s="120"/>
      <c r="L151" s="121"/>
      <c r="M151" s="121"/>
      <c r="N151" s="127"/>
      <c r="P151" s="121"/>
      <c r="Q151" s="121"/>
    </row>
    <row r="152" spans="1:17" ht="12.75" customHeight="1">
      <c r="A152" s="108"/>
      <c r="B152" s="122"/>
      <c r="C152" s="121"/>
      <c r="D152" s="121"/>
      <c r="E152" s="121"/>
      <c r="F152" s="121"/>
      <c r="G152" s="121"/>
      <c r="H152" s="232"/>
      <c r="I152" s="121"/>
      <c r="J152" s="120"/>
      <c r="K152" s="120"/>
      <c r="L152" s="121"/>
      <c r="M152" s="121"/>
      <c r="N152" s="127"/>
      <c r="P152" s="121"/>
      <c r="Q152" s="121"/>
    </row>
    <row r="153" spans="1:17" ht="12.75" customHeight="1">
      <c r="A153" s="108"/>
      <c r="B153" s="122"/>
      <c r="C153" s="121"/>
      <c r="D153" s="121"/>
      <c r="E153" s="121"/>
      <c r="F153" s="121"/>
      <c r="G153" s="121"/>
      <c r="H153" s="232"/>
      <c r="I153" s="121"/>
      <c r="J153" s="120"/>
      <c r="K153" s="120"/>
      <c r="L153" s="121"/>
      <c r="M153" s="121"/>
      <c r="N153" s="127"/>
      <c r="P153" s="121"/>
      <c r="Q153" s="121"/>
    </row>
    <row r="154" spans="1:17" ht="12.75" customHeight="1">
      <c r="A154" s="108"/>
      <c r="B154" s="122"/>
      <c r="C154" s="121"/>
      <c r="D154" s="121"/>
      <c r="E154" s="121"/>
      <c r="F154" s="121"/>
      <c r="G154" s="121"/>
      <c r="H154" s="232"/>
      <c r="I154" s="121"/>
      <c r="J154" s="120"/>
      <c r="K154" s="120"/>
      <c r="L154" s="121"/>
      <c r="M154" s="121"/>
      <c r="N154" s="127"/>
      <c r="P154" s="121"/>
      <c r="Q154" s="121"/>
    </row>
    <row r="155" spans="1:17" ht="12.75" customHeight="1">
      <c r="A155" s="108"/>
      <c r="B155" s="122"/>
      <c r="C155" s="121"/>
      <c r="D155" s="121"/>
      <c r="E155" s="121"/>
      <c r="F155" s="121"/>
      <c r="G155" s="121"/>
      <c r="H155" s="232"/>
      <c r="I155" s="121"/>
      <c r="J155" s="120"/>
      <c r="K155" s="120"/>
      <c r="L155" s="121"/>
      <c r="M155" s="121"/>
      <c r="N155" s="127"/>
      <c r="P155" s="121"/>
      <c r="Q155" s="121"/>
    </row>
    <row r="156" spans="1:17" ht="12.75" customHeight="1">
      <c r="A156" s="108"/>
      <c r="B156" s="122"/>
      <c r="C156" s="121"/>
      <c r="D156" s="121"/>
      <c r="E156" s="121"/>
      <c r="F156" s="121"/>
      <c r="G156" s="121"/>
      <c r="H156" s="232"/>
      <c r="I156" s="121"/>
      <c r="J156" s="120"/>
      <c r="K156" s="120"/>
      <c r="L156" s="121"/>
      <c r="M156" s="121"/>
      <c r="N156" s="127"/>
      <c r="P156" s="121"/>
      <c r="Q156" s="121"/>
    </row>
    <row r="157" spans="1:17" ht="12.75" customHeight="1">
      <c r="A157" s="108"/>
      <c r="B157" s="122"/>
      <c r="C157" s="121"/>
      <c r="D157" s="121"/>
      <c r="E157" s="121"/>
      <c r="F157" s="121"/>
      <c r="G157" s="121"/>
      <c r="H157" s="232"/>
      <c r="I157" s="121"/>
      <c r="J157" s="120"/>
      <c r="K157" s="120"/>
      <c r="L157" s="121"/>
      <c r="M157" s="121"/>
      <c r="N157" s="127"/>
      <c r="P157" s="121"/>
      <c r="Q157" s="121"/>
    </row>
    <row r="158" spans="1:17" ht="12.75" customHeight="1">
      <c r="A158" s="108"/>
      <c r="B158" s="122"/>
      <c r="C158" s="121"/>
      <c r="D158" s="121"/>
      <c r="E158" s="121"/>
      <c r="F158" s="121"/>
      <c r="G158" s="121"/>
      <c r="H158" s="232"/>
      <c r="I158" s="121"/>
      <c r="J158" s="120"/>
      <c r="K158" s="120"/>
      <c r="L158" s="121"/>
      <c r="M158" s="121"/>
      <c r="N158" s="127"/>
      <c r="P158" s="121"/>
      <c r="Q158" s="121"/>
    </row>
    <row r="159" spans="1:17" ht="12.75" customHeight="1">
      <c r="A159" s="108"/>
      <c r="B159" s="122"/>
      <c r="C159" s="121"/>
      <c r="D159" s="121"/>
      <c r="E159" s="121"/>
      <c r="F159" s="121"/>
      <c r="G159" s="121"/>
      <c r="H159" s="232"/>
      <c r="I159" s="121"/>
      <c r="J159" s="120"/>
      <c r="K159" s="120"/>
      <c r="L159" s="121"/>
      <c r="M159" s="121"/>
      <c r="N159" s="127"/>
      <c r="P159" s="121"/>
      <c r="Q159" s="121"/>
    </row>
    <row r="160" spans="1:17" ht="12.75" customHeight="1">
      <c r="A160" s="108"/>
      <c r="B160" s="122"/>
      <c r="C160" s="121"/>
      <c r="D160" s="121"/>
      <c r="E160" s="121"/>
      <c r="F160" s="121"/>
      <c r="G160" s="121"/>
      <c r="H160" s="232"/>
      <c r="I160" s="121"/>
      <c r="J160" s="120"/>
      <c r="K160" s="120"/>
      <c r="L160" s="121"/>
      <c r="M160" s="121"/>
      <c r="N160" s="127"/>
      <c r="P160" s="121"/>
      <c r="Q160" s="121"/>
    </row>
    <row r="161" spans="1:17" ht="12.75" customHeight="1">
      <c r="A161" s="108"/>
      <c r="B161" s="122"/>
      <c r="C161" s="121"/>
      <c r="D161" s="121"/>
      <c r="E161" s="121"/>
      <c r="F161" s="121"/>
      <c r="G161" s="121"/>
      <c r="H161" s="232"/>
      <c r="I161" s="121"/>
      <c r="J161" s="120"/>
      <c r="K161" s="120"/>
      <c r="L161" s="121"/>
      <c r="M161" s="121"/>
      <c r="N161" s="127"/>
      <c r="P161" s="121"/>
      <c r="Q161" s="121"/>
    </row>
    <row r="162" spans="1:17" ht="12.75" customHeight="1">
      <c r="A162" s="108"/>
      <c r="B162" s="122"/>
      <c r="C162" s="121"/>
      <c r="D162" s="121"/>
      <c r="E162" s="121"/>
      <c r="F162" s="121"/>
      <c r="G162" s="121"/>
      <c r="H162" s="232"/>
      <c r="I162" s="121"/>
      <c r="J162" s="120"/>
      <c r="K162" s="120"/>
      <c r="L162" s="121"/>
      <c r="M162" s="121"/>
      <c r="N162" s="127"/>
      <c r="P162" s="121"/>
      <c r="Q162" s="121"/>
    </row>
    <row r="163" spans="1:17" ht="12.75" customHeight="1">
      <c r="A163" s="108"/>
      <c r="B163" s="122"/>
      <c r="C163" s="121"/>
      <c r="D163" s="121"/>
      <c r="E163" s="121"/>
      <c r="F163" s="121"/>
      <c r="G163" s="121"/>
      <c r="H163" s="232"/>
      <c r="I163" s="121"/>
      <c r="J163" s="120"/>
      <c r="K163" s="120"/>
      <c r="L163" s="121"/>
      <c r="M163" s="121"/>
      <c r="N163" s="127"/>
      <c r="P163" s="121"/>
      <c r="Q163" s="121"/>
    </row>
    <row r="164" spans="1:17" ht="12.75" customHeight="1">
      <c r="A164" s="108"/>
      <c r="B164" s="122"/>
      <c r="C164" s="121"/>
      <c r="D164" s="121"/>
      <c r="E164" s="121"/>
      <c r="F164" s="121"/>
      <c r="G164" s="121"/>
      <c r="H164" s="232"/>
      <c r="I164" s="121"/>
      <c r="J164" s="120"/>
      <c r="K164" s="120"/>
      <c r="L164" s="121"/>
      <c r="M164" s="121"/>
      <c r="N164" s="127"/>
      <c r="P164" s="121"/>
      <c r="Q164" s="121"/>
    </row>
    <row r="165" spans="1:17" ht="12.75" customHeight="1">
      <c r="A165" s="108"/>
      <c r="B165" s="122"/>
      <c r="C165" s="121"/>
      <c r="D165" s="121"/>
      <c r="E165" s="121"/>
      <c r="F165" s="121"/>
      <c r="G165" s="121"/>
      <c r="H165" s="232"/>
      <c r="I165" s="121"/>
      <c r="J165" s="120"/>
      <c r="K165" s="120"/>
      <c r="L165" s="121"/>
      <c r="M165" s="121"/>
      <c r="N165" s="127"/>
      <c r="P165" s="121"/>
      <c r="Q165" s="121"/>
    </row>
    <row r="166" spans="1:17" ht="12.75" customHeight="1">
      <c r="A166" s="108"/>
      <c r="B166" s="122"/>
      <c r="C166" s="121"/>
      <c r="D166" s="121"/>
      <c r="E166" s="121"/>
      <c r="F166" s="121"/>
      <c r="G166" s="121"/>
      <c r="H166" s="232"/>
      <c r="I166" s="121"/>
      <c r="J166" s="120"/>
      <c r="K166" s="120"/>
      <c r="L166" s="121"/>
      <c r="M166" s="121"/>
      <c r="N166" s="127"/>
      <c r="P166" s="121"/>
      <c r="Q166" s="121"/>
    </row>
    <row r="167" spans="1:17" ht="12.75" customHeight="1">
      <c r="A167" s="108"/>
      <c r="B167" s="122"/>
      <c r="C167" s="121"/>
      <c r="D167" s="121"/>
      <c r="E167" s="121"/>
      <c r="F167" s="121"/>
      <c r="G167" s="121"/>
      <c r="H167" s="232"/>
      <c r="I167" s="121"/>
      <c r="J167" s="120"/>
      <c r="K167" s="120"/>
      <c r="L167" s="121"/>
      <c r="M167" s="121"/>
      <c r="N167" s="127"/>
      <c r="P167" s="121"/>
      <c r="Q167" s="121"/>
    </row>
    <row r="168" spans="1:17" ht="12.75" customHeight="1">
      <c r="A168" s="108"/>
      <c r="B168" s="122"/>
      <c r="C168" s="121"/>
      <c r="D168" s="121"/>
      <c r="E168" s="121"/>
      <c r="F168" s="121"/>
      <c r="G168" s="121"/>
      <c r="H168" s="232"/>
      <c r="I168" s="121"/>
      <c r="J168" s="120"/>
      <c r="K168" s="120"/>
      <c r="L168" s="121"/>
      <c r="M168" s="121"/>
      <c r="N168" s="127"/>
      <c r="P168" s="121"/>
      <c r="Q168" s="121"/>
    </row>
    <row r="169" spans="1:17" ht="12.75" customHeight="1">
      <c r="A169" s="108"/>
      <c r="B169" s="122"/>
      <c r="C169" s="121"/>
      <c r="D169" s="121"/>
      <c r="E169" s="121"/>
      <c r="F169" s="121"/>
      <c r="G169" s="121"/>
      <c r="H169" s="232"/>
      <c r="I169" s="121"/>
      <c r="J169" s="120"/>
      <c r="K169" s="120"/>
      <c r="L169" s="121"/>
      <c r="M169" s="121"/>
      <c r="N169" s="127"/>
      <c r="P169" s="121"/>
      <c r="Q169" s="121"/>
    </row>
    <row r="170" spans="1:17" ht="12.75" customHeight="1">
      <c r="A170" s="108"/>
      <c r="B170" s="122"/>
      <c r="C170" s="121"/>
      <c r="D170" s="121"/>
      <c r="E170" s="121"/>
      <c r="F170" s="121"/>
      <c r="G170" s="121"/>
      <c r="H170" s="232"/>
      <c r="I170" s="121"/>
      <c r="J170" s="120"/>
      <c r="K170" s="120"/>
      <c r="L170" s="121"/>
      <c r="M170" s="121"/>
      <c r="N170" s="127"/>
      <c r="P170" s="121"/>
      <c r="Q170" s="121"/>
    </row>
    <row r="171" spans="1:17" ht="12.75" customHeight="1">
      <c r="A171" s="108"/>
      <c r="B171" s="122"/>
      <c r="C171" s="121"/>
      <c r="D171" s="121"/>
      <c r="E171" s="121"/>
      <c r="F171" s="121"/>
      <c r="G171" s="121"/>
      <c r="H171" s="232"/>
      <c r="I171" s="121"/>
      <c r="J171" s="120"/>
      <c r="K171" s="120"/>
      <c r="L171" s="121"/>
      <c r="M171" s="121"/>
      <c r="N171" s="127"/>
      <c r="P171" s="121"/>
      <c r="Q171" s="121"/>
    </row>
    <row r="172" spans="1:17" ht="12.75" customHeight="1">
      <c r="A172" s="108"/>
      <c r="B172" s="122"/>
      <c r="C172" s="121"/>
      <c r="D172" s="121"/>
      <c r="E172" s="121"/>
      <c r="F172" s="121"/>
      <c r="G172" s="121"/>
      <c r="H172" s="232"/>
      <c r="I172" s="121"/>
      <c r="J172" s="120"/>
      <c r="K172" s="120"/>
      <c r="L172" s="121"/>
      <c r="M172" s="121"/>
      <c r="N172" s="127"/>
      <c r="P172" s="121"/>
      <c r="Q172" s="121"/>
    </row>
    <row r="173" spans="1:17" ht="12.75" customHeight="1">
      <c r="A173" s="108"/>
      <c r="B173" s="122"/>
      <c r="C173" s="121"/>
      <c r="D173" s="121"/>
      <c r="E173" s="121"/>
      <c r="F173" s="121"/>
      <c r="G173" s="121"/>
      <c r="H173" s="232"/>
      <c r="I173" s="121"/>
      <c r="J173" s="120"/>
      <c r="K173" s="120"/>
      <c r="L173" s="121"/>
      <c r="M173" s="121"/>
      <c r="N173" s="127"/>
      <c r="P173" s="121"/>
      <c r="Q173" s="121"/>
    </row>
    <row r="174" spans="1:17" ht="12.75" customHeight="1">
      <c r="A174" s="108"/>
      <c r="B174" s="122"/>
      <c r="C174" s="121"/>
      <c r="D174" s="121"/>
      <c r="E174" s="121"/>
      <c r="F174" s="121"/>
      <c r="G174" s="121"/>
      <c r="H174" s="232"/>
      <c r="I174" s="121"/>
      <c r="J174" s="120"/>
      <c r="K174" s="120"/>
      <c r="L174" s="121"/>
      <c r="M174" s="121"/>
      <c r="N174" s="127"/>
      <c r="P174" s="121"/>
      <c r="Q174" s="121"/>
    </row>
    <row r="175" spans="1:17" ht="12.75" customHeight="1">
      <c r="A175" s="108"/>
      <c r="B175" s="122"/>
      <c r="C175" s="121"/>
      <c r="D175" s="121"/>
      <c r="E175" s="121"/>
      <c r="F175" s="121"/>
      <c r="G175" s="121"/>
      <c r="H175" s="232"/>
      <c r="I175" s="121"/>
      <c r="J175" s="120"/>
      <c r="K175" s="120"/>
      <c r="L175" s="121"/>
      <c r="M175" s="121"/>
      <c r="N175" s="127"/>
      <c r="P175" s="121"/>
      <c r="Q175" s="121"/>
    </row>
    <row r="176" spans="1:17" ht="12.75" customHeight="1">
      <c r="A176" s="108"/>
      <c r="B176" s="122"/>
      <c r="C176" s="121"/>
      <c r="D176" s="121"/>
      <c r="E176" s="121"/>
      <c r="F176" s="121"/>
      <c r="G176" s="121"/>
      <c r="H176" s="232"/>
      <c r="I176" s="121"/>
      <c r="J176" s="120"/>
      <c r="K176" s="120"/>
      <c r="L176" s="121"/>
      <c r="M176" s="121"/>
      <c r="N176" s="127"/>
      <c r="P176" s="121"/>
      <c r="Q176" s="121"/>
    </row>
    <row r="177" spans="1:17" ht="12.75" customHeight="1">
      <c r="A177" s="108"/>
      <c r="B177" s="122"/>
      <c r="C177" s="121"/>
      <c r="D177" s="121"/>
      <c r="E177" s="121"/>
      <c r="F177" s="121"/>
      <c r="G177" s="121"/>
      <c r="H177" s="232"/>
      <c r="I177" s="121"/>
      <c r="J177" s="120"/>
      <c r="K177" s="120"/>
      <c r="L177" s="121"/>
      <c r="M177" s="121"/>
      <c r="N177" s="127"/>
      <c r="P177" s="121"/>
      <c r="Q177" s="121"/>
    </row>
    <row r="178" spans="1:17" ht="12.75" customHeight="1">
      <c r="A178" s="108"/>
      <c r="B178" s="122"/>
      <c r="C178" s="121"/>
      <c r="D178" s="121"/>
      <c r="E178" s="121"/>
      <c r="F178" s="121"/>
      <c r="G178" s="121"/>
      <c r="H178" s="232"/>
      <c r="I178" s="121"/>
      <c r="J178" s="120"/>
      <c r="K178" s="120"/>
      <c r="L178" s="121"/>
      <c r="M178" s="121"/>
      <c r="N178" s="127"/>
      <c r="P178" s="121"/>
      <c r="Q178" s="121"/>
    </row>
    <row r="179" spans="1:17" ht="12.75" customHeight="1">
      <c r="A179" s="108"/>
      <c r="B179" s="122"/>
      <c r="C179" s="121"/>
      <c r="D179" s="121"/>
      <c r="E179" s="121"/>
      <c r="F179" s="121"/>
      <c r="G179" s="121"/>
      <c r="H179" s="232"/>
      <c r="I179" s="121"/>
      <c r="J179" s="120"/>
      <c r="K179" s="120"/>
      <c r="L179" s="121"/>
      <c r="M179" s="121"/>
      <c r="N179" s="127"/>
      <c r="P179" s="121"/>
      <c r="Q179" s="121"/>
    </row>
    <row r="180" spans="1:17" ht="12.75" customHeight="1">
      <c r="A180" s="108"/>
      <c r="B180" s="122"/>
      <c r="C180" s="121"/>
      <c r="D180" s="121"/>
      <c r="E180" s="121"/>
      <c r="F180" s="121"/>
      <c r="G180" s="121"/>
      <c r="H180" s="232"/>
      <c r="I180" s="121"/>
      <c r="J180" s="120"/>
      <c r="K180" s="120"/>
      <c r="L180" s="121"/>
      <c r="M180" s="121"/>
      <c r="N180" s="127"/>
      <c r="P180" s="121"/>
      <c r="Q180" s="121"/>
    </row>
    <row r="181" spans="1:17" ht="12.75" customHeight="1">
      <c r="A181" s="108"/>
      <c r="B181" s="122"/>
      <c r="C181" s="121"/>
      <c r="D181" s="121"/>
      <c r="E181" s="121"/>
      <c r="F181" s="121"/>
      <c r="G181" s="121"/>
      <c r="H181" s="232"/>
      <c r="I181" s="121"/>
      <c r="J181" s="120"/>
      <c r="K181" s="120"/>
      <c r="L181" s="121"/>
      <c r="M181" s="121"/>
      <c r="N181" s="127"/>
      <c r="P181" s="121"/>
      <c r="Q181" s="121"/>
    </row>
    <row r="182" spans="1:17" ht="12.75" customHeight="1">
      <c r="A182" s="108"/>
      <c r="B182" s="122"/>
      <c r="C182" s="121"/>
      <c r="D182" s="121"/>
      <c r="E182" s="121"/>
      <c r="F182" s="121"/>
      <c r="G182" s="121"/>
      <c r="H182" s="232"/>
      <c r="I182" s="121"/>
      <c r="J182" s="120"/>
      <c r="K182" s="120"/>
      <c r="L182" s="121"/>
      <c r="M182" s="121"/>
      <c r="N182" s="127"/>
      <c r="P182" s="121"/>
      <c r="Q182" s="121"/>
    </row>
    <row r="183" spans="1:17" ht="12.75" customHeight="1">
      <c r="A183" s="108"/>
      <c r="B183" s="122"/>
      <c r="C183" s="121"/>
      <c r="D183" s="121"/>
      <c r="E183" s="121"/>
      <c r="F183" s="121"/>
      <c r="G183" s="121"/>
      <c r="H183" s="232"/>
      <c r="I183" s="121"/>
      <c r="J183" s="120"/>
      <c r="K183" s="120"/>
      <c r="L183" s="121"/>
      <c r="M183" s="121"/>
      <c r="N183" s="127"/>
      <c r="P183" s="121"/>
      <c r="Q183" s="121"/>
    </row>
    <row r="184" spans="1:17" ht="12.75" customHeight="1">
      <c r="A184" s="108"/>
      <c r="B184" s="122"/>
      <c r="C184" s="121"/>
      <c r="D184" s="121"/>
      <c r="E184" s="121"/>
      <c r="F184" s="121"/>
      <c r="G184" s="121"/>
      <c r="H184" s="232"/>
      <c r="I184" s="121"/>
      <c r="J184" s="120"/>
      <c r="K184" s="120"/>
      <c r="L184" s="121"/>
      <c r="M184" s="121"/>
      <c r="N184" s="127"/>
      <c r="P184" s="121"/>
      <c r="Q184" s="121"/>
    </row>
    <row r="185" spans="1:17" ht="12.75" customHeight="1">
      <c r="A185" s="108"/>
      <c r="B185" s="122"/>
      <c r="C185" s="121"/>
      <c r="D185" s="121"/>
      <c r="E185" s="121"/>
      <c r="F185" s="121"/>
      <c r="G185" s="121"/>
      <c r="H185" s="232"/>
      <c r="I185" s="121"/>
      <c r="J185" s="120"/>
      <c r="K185" s="120"/>
      <c r="L185" s="121"/>
      <c r="M185" s="121"/>
      <c r="N185" s="127"/>
      <c r="P185" s="121"/>
      <c r="Q185" s="121"/>
    </row>
    <row r="186" spans="1:17" ht="12.75" customHeight="1">
      <c r="A186" s="108"/>
      <c r="B186" s="122"/>
      <c r="C186" s="121"/>
      <c r="D186" s="121"/>
      <c r="E186" s="121"/>
      <c r="F186" s="121"/>
      <c r="G186" s="121"/>
      <c r="H186" s="232"/>
      <c r="I186" s="121"/>
      <c r="J186" s="120"/>
      <c r="K186" s="120"/>
      <c r="L186" s="121"/>
      <c r="M186" s="121"/>
      <c r="N186" s="127"/>
      <c r="P186" s="121"/>
      <c r="Q186" s="121"/>
    </row>
    <row r="187" spans="1:17" ht="12.75" customHeight="1">
      <c r="A187" s="108"/>
      <c r="B187" s="122"/>
      <c r="C187" s="121"/>
      <c r="D187" s="121"/>
      <c r="E187" s="121"/>
      <c r="F187" s="121"/>
      <c r="G187" s="121"/>
      <c r="H187" s="232"/>
      <c r="I187" s="121"/>
      <c r="J187" s="120"/>
      <c r="K187" s="120"/>
      <c r="L187" s="121"/>
      <c r="M187" s="121"/>
      <c r="N187" s="127"/>
      <c r="P187" s="121"/>
      <c r="Q187" s="121"/>
    </row>
    <row r="188" spans="1:17" ht="12.75" customHeight="1">
      <c r="A188" s="108"/>
      <c r="B188" s="122"/>
      <c r="C188" s="121"/>
      <c r="D188" s="121"/>
      <c r="E188" s="121"/>
      <c r="F188" s="121"/>
      <c r="G188" s="121"/>
      <c r="H188" s="232"/>
      <c r="I188" s="121"/>
      <c r="J188" s="120"/>
      <c r="K188" s="120"/>
      <c r="L188" s="121"/>
      <c r="M188" s="121"/>
      <c r="N188" s="127"/>
      <c r="P188" s="121"/>
      <c r="Q188" s="121"/>
    </row>
    <row r="189" spans="1:17" ht="12.75" customHeight="1">
      <c r="A189" s="108"/>
      <c r="B189" s="122"/>
      <c r="C189" s="121"/>
      <c r="D189" s="121"/>
      <c r="E189" s="121"/>
      <c r="F189" s="121"/>
      <c r="G189" s="121"/>
      <c r="H189" s="232"/>
      <c r="I189" s="121"/>
      <c r="J189" s="120"/>
      <c r="K189" s="120"/>
      <c r="L189" s="121"/>
      <c r="M189" s="121"/>
      <c r="N189" s="127"/>
      <c r="P189" s="121"/>
      <c r="Q189" s="121"/>
    </row>
    <row r="190" spans="1:17" ht="12.75" customHeight="1">
      <c r="A190" s="108"/>
      <c r="B190" s="122"/>
      <c r="C190" s="121"/>
      <c r="D190" s="121"/>
      <c r="E190" s="121"/>
      <c r="F190" s="121"/>
      <c r="G190" s="121"/>
      <c r="H190" s="232"/>
      <c r="I190" s="121"/>
      <c r="J190" s="120"/>
      <c r="K190" s="120"/>
      <c r="L190" s="121"/>
      <c r="M190" s="121"/>
      <c r="N190" s="127"/>
      <c r="P190" s="121"/>
      <c r="Q190" s="121"/>
    </row>
    <row r="191" spans="1:17" ht="12.75" customHeight="1">
      <c r="A191" s="108"/>
      <c r="B191" s="122"/>
      <c r="C191" s="121"/>
      <c r="D191" s="121"/>
      <c r="E191" s="121"/>
      <c r="F191" s="121"/>
      <c r="G191" s="121"/>
      <c r="H191" s="232"/>
      <c r="I191" s="121"/>
      <c r="J191" s="120"/>
      <c r="K191" s="120"/>
      <c r="L191" s="121"/>
      <c r="M191" s="121"/>
      <c r="N191" s="127"/>
      <c r="P191" s="121"/>
      <c r="Q191" s="121"/>
    </row>
    <row r="192" spans="1:17" ht="12.75" customHeight="1">
      <c r="A192" s="108"/>
      <c r="B192" s="122"/>
      <c r="C192" s="121"/>
      <c r="D192" s="121"/>
      <c r="E192" s="121"/>
      <c r="F192" s="121"/>
      <c r="G192" s="121"/>
      <c r="H192" s="232"/>
      <c r="I192" s="121"/>
      <c r="J192" s="120"/>
      <c r="K192" s="120"/>
      <c r="L192" s="121"/>
      <c r="M192" s="121"/>
      <c r="N192" s="127"/>
      <c r="P192" s="121"/>
      <c r="Q192" s="121"/>
    </row>
    <row r="193" spans="1:17" ht="12.75" customHeight="1">
      <c r="A193" s="108"/>
      <c r="B193" s="122"/>
      <c r="C193" s="121"/>
      <c r="D193" s="121"/>
      <c r="E193" s="121"/>
      <c r="F193" s="121"/>
      <c r="G193" s="121"/>
      <c r="H193" s="232"/>
      <c r="I193" s="121"/>
      <c r="J193" s="120"/>
      <c r="K193" s="120"/>
      <c r="L193" s="121"/>
      <c r="M193" s="121"/>
      <c r="N193" s="127"/>
      <c r="P193" s="121"/>
      <c r="Q193" s="121"/>
    </row>
    <row r="194" spans="1:17" ht="12.75" customHeight="1">
      <c r="A194" s="108"/>
      <c r="B194" s="122"/>
      <c r="C194" s="121"/>
      <c r="D194" s="121"/>
      <c r="E194" s="121"/>
      <c r="F194" s="121"/>
      <c r="G194" s="121"/>
      <c r="H194" s="232"/>
      <c r="I194" s="121"/>
      <c r="J194" s="120"/>
      <c r="K194" s="120"/>
      <c r="L194" s="121"/>
      <c r="M194" s="121"/>
      <c r="N194" s="127"/>
      <c r="P194" s="121"/>
      <c r="Q194" s="121"/>
    </row>
    <row r="195" spans="1:17" ht="12.75" customHeight="1">
      <c r="A195" s="108"/>
      <c r="B195" s="122"/>
      <c r="C195" s="121"/>
      <c r="D195" s="121"/>
      <c r="E195" s="121"/>
      <c r="F195" s="121"/>
      <c r="G195" s="121"/>
      <c r="H195" s="232"/>
      <c r="I195" s="121"/>
      <c r="J195" s="120"/>
      <c r="K195" s="120"/>
      <c r="L195" s="121"/>
      <c r="M195" s="121"/>
      <c r="N195" s="127"/>
      <c r="P195" s="121"/>
      <c r="Q195" s="121"/>
    </row>
    <row r="196" spans="1:17" ht="12.75" customHeight="1">
      <c r="A196" s="108"/>
      <c r="B196" s="122"/>
      <c r="C196" s="121"/>
      <c r="D196" s="121"/>
      <c r="E196" s="121"/>
      <c r="F196" s="121"/>
      <c r="G196" s="121"/>
      <c r="H196" s="232"/>
      <c r="I196" s="121"/>
      <c r="J196" s="120"/>
      <c r="K196" s="120"/>
      <c r="L196" s="121"/>
      <c r="M196" s="121"/>
      <c r="N196" s="127"/>
      <c r="P196" s="121"/>
      <c r="Q196" s="121"/>
    </row>
    <row r="197" spans="1:17" ht="12.75" customHeight="1">
      <c r="A197" s="108"/>
      <c r="B197" s="122"/>
      <c r="C197" s="121"/>
      <c r="D197" s="121"/>
      <c r="E197" s="121"/>
      <c r="F197" s="121"/>
      <c r="G197" s="121"/>
      <c r="H197" s="232"/>
      <c r="I197" s="121"/>
      <c r="J197" s="120"/>
      <c r="K197" s="120"/>
      <c r="L197" s="121"/>
      <c r="M197" s="121"/>
      <c r="N197" s="127"/>
      <c r="P197" s="121"/>
      <c r="Q197" s="121"/>
    </row>
    <row r="198" spans="1:17" ht="12.75" customHeight="1">
      <c r="A198" s="108"/>
      <c r="B198" s="122"/>
      <c r="C198" s="121"/>
      <c r="D198" s="121"/>
      <c r="E198" s="121"/>
      <c r="F198" s="121"/>
      <c r="G198" s="121"/>
      <c r="H198" s="232"/>
      <c r="I198" s="121"/>
      <c r="J198" s="120"/>
      <c r="K198" s="120"/>
      <c r="L198" s="121"/>
      <c r="M198" s="121"/>
      <c r="N198" s="127"/>
      <c r="P198" s="121"/>
      <c r="Q198" s="121"/>
    </row>
    <row r="199" spans="1:17" ht="12.75" customHeight="1">
      <c r="A199" s="108"/>
      <c r="B199" s="122"/>
      <c r="C199" s="121"/>
      <c r="D199" s="121"/>
      <c r="E199" s="121"/>
      <c r="F199" s="121"/>
      <c r="G199" s="121"/>
      <c r="H199" s="232"/>
      <c r="I199" s="121"/>
      <c r="J199" s="120"/>
      <c r="K199" s="120"/>
      <c r="L199" s="121"/>
      <c r="M199" s="121"/>
      <c r="N199" s="127"/>
      <c r="P199" s="121"/>
      <c r="Q199" s="121"/>
    </row>
    <row r="200" spans="1:17" ht="12.75" customHeight="1">
      <c r="A200" s="108"/>
      <c r="B200" s="122"/>
      <c r="C200" s="121"/>
      <c r="D200" s="121"/>
      <c r="E200" s="121"/>
      <c r="F200" s="121"/>
      <c r="G200" s="121"/>
      <c r="H200" s="232"/>
      <c r="I200" s="121"/>
      <c r="J200" s="120"/>
      <c r="K200" s="120"/>
      <c r="L200" s="121"/>
      <c r="M200" s="121"/>
      <c r="N200" s="127"/>
      <c r="P200" s="121"/>
      <c r="Q200" s="121"/>
    </row>
    <row r="201" spans="1:17" ht="12.75" customHeight="1">
      <c r="A201" s="108"/>
      <c r="B201" s="122"/>
      <c r="C201" s="121"/>
      <c r="D201" s="121"/>
      <c r="E201" s="121"/>
      <c r="F201" s="121"/>
      <c r="G201" s="121"/>
      <c r="H201" s="232"/>
      <c r="I201" s="121"/>
      <c r="J201" s="120"/>
      <c r="K201" s="120"/>
      <c r="L201" s="121"/>
      <c r="M201" s="121"/>
      <c r="N201" s="127"/>
      <c r="P201" s="121"/>
      <c r="Q201" s="121"/>
    </row>
    <row r="202" spans="1:17" ht="12.75" customHeight="1">
      <c r="A202" s="108"/>
      <c r="B202" s="122"/>
      <c r="C202" s="121"/>
      <c r="D202" s="121"/>
      <c r="E202" s="121"/>
      <c r="F202" s="121"/>
      <c r="G202" s="121"/>
      <c r="H202" s="232"/>
      <c r="I202" s="121"/>
      <c r="J202" s="120"/>
      <c r="K202" s="120"/>
      <c r="L202" s="121"/>
      <c r="M202" s="121"/>
      <c r="N202" s="127"/>
      <c r="P202" s="121"/>
      <c r="Q202" s="121"/>
    </row>
    <row r="203" spans="1:17" ht="12.75" customHeight="1">
      <c r="A203" s="108"/>
      <c r="B203" s="122"/>
      <c r="C203" s="121"/>
      <c r="D203" s="121"/>
      <c r="E203" s="121"/>
      <c r="F203" s="121"/>
      <c r="G203" s="121"/>
      <c r="H203" s="232"/>
      <c r="I203" s="121"/>
      <c r="J203" s="120"/>
      <c r="K203" s="120"/>
      <c r="L203" s="121"/>
      <c r="M203" s="121"/>
      <c r="N203" s="127"/>
      <c r="P203" s="121"/>
      <c r="Q203" s="121"/>
    </row>
    <row r="204" spans="1:17" ht="12.75" customHeight="1">
      <c r="A204" s="108"/>
      <c r="B204" s="122"/>
      <c r="C204" s="121"/>
      <c r="D204" s="121"/>
      <c r="E204" s="121"/>
      <c r="F204" s="121"/>
      <c r="G204" s="121"/>
      <c r="H204" s="232"/>
      <c r="I204" s="121"/>
      <c r="J204" s="120"/>
      <c r="K204" s="120"/>
      <c r="L204" s="121"/>
      <c r="M204" s="121"/>
      <c r="N204" s="127"/>
      <c r="P204" s="121"/>
      <c r="Q204" s="121"/>
    </row>
    <row r="205" spans="1:17" ht="12.75" customHeight="1">
      <c r="A205" s="108"/>
      <c r="B205" s="122"/>
      <c r="C205" s="121"/>
      <c r="D205" s="121"/>
      <c r="E205" s="121"/>
      <c r="F205" s="121"/>
      <c r="G205" s="121"/>
      <c r="H205" s="232"/>
      <c r="I205" s="121"/>
      <c r="J205" s="120"/>
      <c r="K205" s="120"/>
      <c r="L205" s="121"/>
      <c r="M205" s="121"/>
      <c r="N205" s="127"/>
      <c r="P205" s="121"/>
      <c r="Q205" s="121"/>
    </row>
    <row r="206" spans="1:17" ht="12.75" customHeight="1">
      <c r="A206" s="108"/>
      <c r="B206" s="122"/>
      <c r="C206" s="121"/>
      <c r="D206" s="121"/>
      <c r="E206" s="121"/>
      <c r="F206" s="121"/>
      <c r="G206" s="121"/>
      <c r="H206" s="232"/>
      <c r="I206" s="121"/>
      <c r="J206" s="120"/>
      <c r="K206" s="120"/>
      <c r="L206" s="121"/>
      <c r="M206" s="121"/>
      <c r="N206" s="127"/>
      <c r="P206" s="121"/>
      <c r="Q206" s="121"/>
    </row>
    <row r="207" spans="1:17" ht="12.75" customHeight="1">
      <c r="A207" s="108"/>
      <c r="B207" s="122"/>
      <c r="C207" s="121"/>
      <c r="D207" s="121"/>
      <c r="E207" s="121"/>
      <c r="F207" s="121"/>
      <c r="G207" s="121"/>
      <c r="H207" s="232"/>
      <c r="I207" s="121"/>
      <c r="J207" s="120"/>
      <c r="K207" s="120"/>
      <c r="L207" s="121"/>
      <c r="M207" s="121"/>
      <c r="N207" s="127"/>
      <c r="P207" s="121"/>
      <c r="Q207" s="121"/>
    </row>
    <row r="208" spans="1:17" ht="12.75" customHeight="1">
      <c r="A208" s="108"/>
      <c r="B208" s="122"/>
      <c r="C208" s="121"/>
      <c r="D208" s="121"/>
      <c r="E208" s="121"/>
      <c r="F208" s="121"/>
      <c r="G208" s="121"/>
      <c r="H208" s="232"/>
      <c r="I208" s="121"/>
      <c r="J208" s="120"/>
      <c r="K208" s="120"/>
      <c r="L208" s="121"/>
      <c r="M208" s="121"/>
      <c r="N208" s="127"/>
      <c r="P208" s="121"/>
      <c r="Q208" s="121"/>
    </row>
    <row r="209" spans="1:17" ht="12.75" customHeight="1">
      <c r="A209" s="108"/>
      <c r="B209" s="122"/>
      <c r="C209" s="121"/>
      <c r="D209" s="121"/>
      <c r="E209" s="121"/>
      <c r="F209" s="121"/>
      <c r="G209" s="121"/>
      <c r="H209" s="232"/>
      <c r="I209" s="121"/>
      <c r="J209" s="120"/>
      <c r="K209" s="120"/>
      <c r="L209" s="121"/>
      <c r="M209" s="121"/>
      <c r="N209" s="127"/>
      <c r="P209" s="121"/>
      <c r="Q209" s="121"/>
    </row>
    <row r="210" spans="1:17" ht="12.75" customHeight="1">
      <c r="A210" s="108"/>
      <c r="B210" s="122"/>
      <c r="C210" s="121"/>
      <c r="D210" s="121"/>
      <c r="E210" s="121"/>
      <c r="F210" s="121"/>
      <c r="G210" s="121"/>
      <c r="H210" s="232"/>
      <c r="I210" s="121"/>
      <c r="J210" s="120"/>
      <c r="K210" s="120"/>
      <c r="L210" s="121"/>
      <c r="M210" s="121"/>
      <c r="N210" s="127"/>
      <c r="P210" s="121"/>
      <c r="Q210" s="121"/>
    </row>
    <row r="211" spans="1:17" ht="12.75" customHeight="1">
      <c r="A211" s="108"/>
      <c r="B211" s="122"/>
      <c r="C211" s="121"/>
      <c r="D211" s="121"/>
      <c r="E211" s="121"/>
      <c r="F211" s="121"/>
      <c r="G211" s="121"/>
      <c r="H211" s="232"/>
      <c r="I211" s="121"/>
      <c r="J211" s="120"/>
      <c r="K211" s="120"/>
      <c r="L211" s="121"/>
      <c r="M211" s="121"/>
      <c r="N211" s="127"/>
      <c r="P211" s="121"/>
      <c r="Q211" s="121"/>
    </row>
    <row r="212" spans="1:17" ht="12.75" customHeight="1">
      <c r="A212" s="108"/>
      <c r="B212" s="122"/>
      <c r="C212" s="121"/>
      <c r="D212" s="121"/>
      <c r="E212" s="121"/>
      <c r="F212" s="121"/>
      <c r="G212" s="121"/>
      <c r="H212" s="232"/>
      <c r="I212" s="121"/>
      <c r="J212" s="120"/>
      <c r="K212" s="120"/>
      <c r="L212" s="121"/>
      <c r="M212" s="121"/>
      <c r="N212" s="127"/>
      <c r="P212" s="121"/>
      <c r="Q212" s="121"/>
    </row>
    <row r="213" spans="1:17" ht="12.75" customHeight="1">
      <c r="A213" s="108"/>
      <c r="B213" s="122"/>
      <c r="C213" s="121"/>
      <c r="D213" s="121"/>
      <c r="E213" s="121"/>
      <c r="F213" s="121"/>
      <c r="G213" s="121"/>
      <c r="H213" s="232"/>
      <c r="I213" s="121"/>
      <c r="J213" s="120"/>
      <c r="K213" s="120"/>
      <c r="L213" s="121"/>
      <c r="M213" s="121"/>
      <c r="N213" s="127"/>
      <c r="P213" s="121"/>
      <c r="Q213" s="121"/>
    </row>
    <row r="214" spans="1:17" ht="12.75" customHeight="1">
      <c r="A214" s="108"/>
      <c r="B214" s="122"/>
      <c r="C214" s="121"/>
      <c r="D214" s="121"/>
      <c r="E214" s="121"/>
      <c r="F214" s="121"/>
      <c r="G214" s="121"/>
      <c r="H214" s="232"/>
      <c r="I214" s="121"/>
      <c r="J214" s="120"/>
      <c r="K214" s="120"/>
      <c r="L214" s="121"/>
      <c r="M214" s="121"/>
      <c r="N214" s="127"/>
      <c r="P214" s="121"/>
      <c r="Q214" s="121"/>
    </row>
    <row r="215" spans="1:17" ht="12.75" customHeight="1">
      <c r="A215" s="108"/>
      <c r="B215" s="122"/>
      <c r="C215" s="121"/>
      <c r="D215" s="121"/>
      <c r="E215" s="121"/>
      <c r="F215" s="121"/>
      <c r="G215" s="121"/>
      <c r="H215" s="232"/>
      <c r="I215" s="121"/>
      <c r="J215" s="120"/>
      <c r="K215" s="120"/>
      <c r="L215" s="121"/>
      <c r="M215" s="121"/>
      <c r="N215" s="127"/>
      <c r="P215" s="121"/>
      <c r="Q215" s="121"/>
    </row>
    <row r="216" spans="1:17" ht="12.75" customHeight="1">
      <c r="A216" s="108"/>
      <c r="B216" s="122"/>
      <c r="C216" s="121"/>
      <c r="D216" s="121"/>
      <c r="E216" s="121"/>
      <c r="F216" s="121"/>
      <c r="G216" s="121"/>
      <c r="H216" s="232"/>
      <c r="I216" s="121"/>
      <c r="J216" s="120"/>
      <c r="K216" s="120"/>
      <c r="L216" s="121"/>
      <c r="M216" s="121"/>
      <c r="N216" s="127"/>
      <c r="P216" s="121"/>
      <c r="Q216" s="121"/>
    </row>
    <row r="217" spans="1:17" ht="12.75" customHeight="1">
      <c r="A217" s="108"/>
      <c r="B217" s="122"/>
      <c r="C217" s="121"/>
      <c r="D217" s="121"/>
      <c r="E217" s="121"/>
      <c r="F217" s="121"/>
      <c r="G217" s="121"/>
      <c r="H217" s="232"/>
      <c r="I217" s="121"/>
      <c r="J217" s="120"/>
      <c r="K217" s="120"/>
      <c r="L217" s="121"/>
      <c r="M217" s="121"/>
      <c r="N217" s="127"/>
      <c r="P217" s="121"/>
      <c r="Q217" s="121"/>
    </row>
    <row r="218" spans="1:17" ht="12.75" customHeight="1">
      <c r="A218" s="108"/>
      <c r="B218" s="122"/>
      <c r="C218" s="121"/>
      <c r="D218" s="121"/>
      <c r="E218" s="121"/>
      <c r="F218" s="121"/>
      <c r="G218" s="121"/>
      <c r="H218" s="232"/>
      <c r="I218" s="121"/>
      <c r="J218" s="120"/>
      <c r="K218" s="120"/>
      <c r="L218" s="121"/>
      <c r="M218" s="121"/>
      <c r="N218" s="127"/>
      <c r="P218" s="121"/>
      <c r="Q218" s="121"/>
    </row>
    <row r="219" spans="1:17" ht="12.75" customHeight="1">
      <c r="A219" s="108"/>
      <c r="B219" s="122"/>
      <c r="C219" s="121"/>
      <c r="D219" s="121"/>
      <c r="E219" s="121"/>
      <c r="F219" s="121"/>
      <c r="G219" s="121"/>
      <c r="H219" s="232"/>
      <c r="I219" s="121"/>
      <c r="J219" s="120"/>
      <c r="K219" s="120"/>
      <c r="L219" s="121"/>
      <c r="M219" s="121"/>
      <c r="N219" s="127"/>
      <c r="P219" s="121"/>
      <c r="Q219" s="121"/>
    </row>
    <row r="220" spans="1:17" ht="12.75" customHeight="1">
      <c r="A220" s="108"/>
      <c r="B220" s="122"/>
      <c r="C220" s="121"/>
      <c r="D220" s="121"/>
      <c r="E220" s="121"/>
      <c r="F220" s="121"/>
      <c r="G220" s="121"/>
      <c r="H220" s="232"/>
      <c r="I220" s="121"/>
      <c r="J220" s="120"/>
      <c r="K220" s="120"/>
      <c r="L220" s="121"/>
      <c r="M220" s="121"/>
      <c r="N220" s="127"/>
      <c r="P220" s="121"/>
      <c r="Q220" s="121"/>
    </row>
    <row r="221" spans="1:17" ht="12.75" customHeight="1">
      <c r="A221" s="108"/>
      <c r="B221" s="122"/>
      <c r="C221" s="121"/>
      <c r="D221" s="121"/>
      <c r="E221" s="121"/>
      <c r="F221" s="121"/>
      <c r="G221" s="121"/>
      <c r="H221" s="232"/>
      <c r="I221" s="121"/>
      <c r="J221" s="120"/>
      <c r="K221" s="120"/>
      <c r="L221" s="121"/>
      <c r="M221" s="121"/>
      <c r="N221" s="127"/>
      <c r="P221" s="121"/>
      <c r="Q221" s="121"/>
    </row>
    <row r="222" spans="1:17" ht="12.75" customHeight="1">
      <c r="A222" s="108"/>
      <c r="B222" s="122"/>
      <c r="C222" s="121"/>
      <c r="D222" s="121"/>
      <c r="E222" s="121"/>
      <c r="F222" s="121"/>
      <c r="G222" s="121"/>
      <c r="H222" s="232"/>
      <c r="I222" s="121"/>
      <c r="J222" s="120"/>
      <c r="K222" s="120"/>
      <c r="L222" s="121"/>
      <c r="M222" s="121"/>
      <c r="N222" s="127"/>
      <c r="P222" s="121"/>
      <c r="Q222" s="121"/>
    </row>
    <row r="223" spans="1:17" ht="12.75" customHeight="1">
      <c r="A223" s="108"/>
      <c r="B223" s="122"/>
      <c r="C223" s="121"/>
      <c r="D223" s="121"/>
      <c r="E223" s="121"/>
      <c r="F223" s="121"/>
      <c r="G223" s="121"/>
      <c r="H223" s="232"/>
      <c r="I223" s="121"/>
      <c r="J223" s="120"/>
      <c r="K223" s="120"/>
      <c r="L223" s="121"/>
      <c r="M223" s="121"/>
      <c r="N223" s="127"/>
      <c r="P223" s="121"/>
      <c r="Q223" s="121"/>
    </row>
    <row r="224" spans="1:17" ht="12.75" customHeight="1">
      <c r="A224" s="108"/>
      <c r="B224" s="122"/>
      <c r="C224" s="121"/>
      <c r="D224" s="121"/>
      <c r="E224" s="121"/>
      <c r="F224" s="121"/>
      <c r="G224" s="121"/>
      <c r="H224" s="232"/>
      <c r="I224" s="121"/>
      <c r="J224" s="120"/>
      <c r="K224" s="120"/>
      <c r="L224" s="121"/>
      <c r="M224" s="121"/>
      <c r="N224" s="127"/>
      <c r="P224" s="121"/>
      <c r="Q224" s="121"/>
    </row>
    <row r="225" spans="1:17" ht="12.75" customHeight="1">
      <c r="A225" s="108"/>
      <c r="B225" s="122"/>
      <c r="C225" s="121"/>
      <c r="D225" s="121"/>
      <c r="E225" s="121"/>
      <c r="F225" s="121"/>
      <c r="G225" s="121"/>
      <c r="H225" s="232"/>
      <c r="I225" s="121"/>
      <c r="J225" s="120"/>
      <c r="K225" s="120"/>
      <c r="L225" s="121"/>
      <c r="M225" s="121"/>
      <c r="N225" s="127"/>
      <c r="P225" s="121"/>
      <c r="Q225" s="121"/>
    </row>
    <row r="226" spans="1:17" ht="12.75" customHeight="1">
      <c r="A226" s="108"/>
      <c r="B226" s="122"/>
      <c r="C226" s="121"/>
      <c r="D226" s="121"/>
      <c r="E226" s="121"/>
      <c r="F226" s="121"/>
      <c r="G226" s="121"/>
      <c r="H226" s="232"/>
      <c r="I226" s="121"/>
      <c r="J226" s="120"/>
      <c r="K226" s="120"/>
      <c r="L226" s="121"/>
      <c r="M226" s="121"/>
      <c r="N226" s="127"/>
      <c r="P226" s="121"/>
      <c r="Q226" s="121"/>
    </row>
    <row r="227" spans="1:17" ht="12.75" customHeight="1">
      <c r="A227" s="108"/>
      <c r="B227" s="122"/>
      <c r="C227" s="121"/>
      <c r="D227" s="121"/>
      <c r="E227" s="121"/>
      <c r="F227" s="121"/>
      <c r="G227" s="121"/>
      <c r="H227" s="232"/>
      <c r="I227" s="121"/>
      <c r="J227" s="120"/>
      <c r="K227" s="120"/>
      <c r="L227" s="121"/>
      <c r="M227" s="121"/>
      <c r="N227" s="127"/>
      <c r="P227" s="121"/>
      <c r="Q227" s="121"/>
    </row>
    <row r="228" spans="1:17" ht="12.75" customHeight="1">
      <c r="A228" s="108"/>
      <c r="B228" s="122"/>
      <c r="C228" s="121"/>
      <c r="D228" s="121"/>
      <c r="E228" s="121"/>
      <c r="F228" s="121"/>
      <c r="G228" s="121"/>
      <c r="H228" s="232"/>
      <c r="I228" s="121"/>
      <c r="J228" s="120"/>
      <c r="K228" s="120"/>
      <c r="L228" s="121"/>
      <c r="M228" s="121"/>
      <c r="N228" s="127"/>
      <c r="P228" s="121"/>
      <c r="Q228" s="121"/>
    </row>
    <row r="229" spans="1:17" ht="12.75" customHeight="1">
      <c r="A229" s="108"/>
      <c r="B229" s="122"/>
      <c r="C229" s="121"/>
      <c r="D229" s="121"/>
      <c r="E229" s="121"/>
      <c r="F229" s="121"/>
      <c r="G229" s="121"/>
      <c r="H229" s="232"/>
      <c r="I229" s="121"/>
      <c r="J229" s="120"/>
      <c r="K229" s="120"/>
      <c r="L229" s="121"/>
      <c r="M229" s="121"/>
      <c r="N229" s="127"/>
      <c r="P229" s="121"/>
      <c r="Q229" s="121"/>
    </row>
    <row r="230" spans="1:17" ht="12.75" customHeight="1">
      <c r="A230" s="108"/>
      <c r="B230" s="122"/>
      <c r="C230" s="121"/>
      <c r="D230" s="121"/>
      <c r="E230" s="121"/>
      <c r="F230" s="121"/>
      <c r="G230" s="121"/>
      <c r="H230" s="232"/>
      <c r="I230" s="121"/>
      <c r="J230" s="120"/>
      <c r="K230" s="120"/>
      <c r="L230" s="121"/>
      <c r="M230" s="121"/>
      <c r="N230" s="127"/>
      <c r="P230" s="121"/>
      <c r="Q230" s="121"/>
    </row>
    <row r="231" spans="1:17" ht="12.75" customHeight="1">
      <c r="A231" s="108"/>
      <c r="B231" s="122"/>
      <c r="C231" s="121"/>
      <c r="D231" s="121"/>
      <c r="E231" s="121"/>
      <c r="F231" s="121"/>
      <c r="G231" s="121"/>
      <c r="H231" s="232"/>
      <c r="I231" s="121"/>
      <c r="J231" s="120"/>
      <c r="K231" s="120"/>
      <c r="L231" s="121"/>
      <c r="M231" s="121"/>
      <c r="N231" s="127"/>
      <c r="P231" s="121"/>
      <c r="Q231" s="121"/>
    </row>
    <row r="232" spans="1:17" ht="12.75" customHeight="1">
      <c r="A232" s="108"/>
      <c r="B232" s="122"/>
      <c r="C232" s="121"/>
      <c r="D232" s="121"/>
      <c r="E232" s="121"/>
      <c r="F232" s="121"/>
      <c r="G232" s="121"/>
      <c r="H232" s="232"/>
      <c r="I232" s="121"/>
      <c r="J232" s="120"/>
      <c r="K232" s="120"/>
      <c r="L232" s="121"/>
      <c r="M232" s="121"/>
      <c r="N232" s="127"/>
      <c r="P232" s="121"/>
      <c r="Q232" s="121"/>
    </row>
    <row r="233" spans="1:17" ht="12.75" customHeight="1">
      <c r="A233" s="108"/>
      <c r="B233" s="122"/>
      <c r="C233" s="121"/>
      <c r="D233" s="121"/>
      <c r="E233" s="121"/>
      <c r="F233" s="121"/>
      <c r="G233" s="121"/>
      <c r="H233" s="232"/>
      <c r="I233" s="121"/>
      <c r="J233" s="120"/>
      <c r="K233" s="120"/>
      <c r="L233" s="121"/>
      <c r="M233" s="121"/>
      <c r="N233" s="127"/>
      <c r="P233" s="121"/>
      <c r="Q233" s="121"/>
    </row>
    <row r="234" spans="1:17" ht="12.75" customHeight="1">
      <c r="A234" s="108"/>
      <c r="B234" s="122"/>
      <c r="C234" s="121"/>
      <c r="D234" s="121"/>
      <c r="E234" s="121"/>
      <c r="F234" s="121"/>
      <c r="G234" s="121"/>
      <c r="H234" s="232"/>
      <c r="I234" s="121"/>
      <c r="J234" s="120"/>
      <c r="K234" s="120"/>
      <c r="L234" s="121"/>
      <c r="M234" s="121"/>
      <c r="N234" s="127"/>
      <c r="P234" s="121"/>
      <c r="Q234" s="121"/>
    </row>
    <row r="235" spans="1:17" ht="12.75" customHeight="1">
      <c r="A235" s="108"/>
      <c r="B235" s="122"/>
      <c r="C235" s="121"/>
      <c r="D235" s="121"/>
      <c r="E235" s="121"/>
      <c r="F235" s="121"/>
      <c r="G235" s="121"/>
      <c r="H235" s="232"/>
      <c r="I235" s="121"/>
      <c r="J235" s="120"/>
      <c r="K235" s="120"/>
      <c r="L235" s="121"/>
      <c r="M235" s="121"/>
      <c r="N235" s="127"/>
      <c r="P235" s="121"/>
      <c r="Q235" s="121"/>
    </row>
    <row r="236" spans="1:17" ht="12.75" customHeight="1">
      <c r="A236" s="108"/>
      <c r="B236" s="122"/>
      <c r="C236" s="121"/>
      <c r="D236" s="121"/>
      <c r="E236" s="121"/>
      <c r="F236" s="121"/>
      <c r="G236" s="121"/>
      <c r="H236" s="232"/>
      <c r="I236" s="121"/>
      <c r="J236" s="120"/>
      <c r="K236" s="120"/>
      <c r="L236" s="121"/>
      <c r="M236" s="121"/>
      <c r="N236" s="127"/>
      <c r="P236" s="121"/>
      <c r="Q236" s="121"/>
    </row>
    <row r="237" spans="1:17" ht="12.75" customHeight="1">
      <c r="A237" s="108"/>
      <c r="B237" s="122"/>
      <c r="C237" s="121"/>
      <c r="D237" s="121"/>
      <c r="E237" s="121"/>
      <c r="F237" s="121"/>
      <c r="G237" s="121"/>
      <c r="H237" s="232"/>
      <c r="I237" s="121"/>
      <c r="J237" s="120"/>
      <c r="K237" s="120"/>
      <c r="L237" s="121"/>
      <c r="M237" s="121"/>
      <c r="N237" s="127"/>
      <c r="P237" s="121"/>
      <c r="Q237" s="121"/>
    </row>
    <row r="238" spans="1:17" ht="12.75" customHeight="1">
      <c r="A238" s="108"/>
      <c r="B238" s="122"/>
      <c r="C238" s="121"/>
      <c r="D238" s="121"/>
      <c r="E238" s="121"/>
      <c r="F238" s="121"/>
      <c r="G238" s="121"/>
      <c r="H238" s="232"/>
      <c r="I238" s="121"/>
      <c r="J238" s="120"/>
      <c r="K238" s="120"/>
      <c r="L238" s="121"/>
      <c r="M238" s="121"/>
      <c r="N238" s="127"/>
      <c r="P238" s="121"/>
      <c r="Q238" s="121"/>
    </row>
    <row r="239" spans="1:17" ht="12.75" customHeight="1">
      <c r="A239" s="108"/>
      <c r="B239" s="122"/>
      <c r="C239" s="121"/>
      <c r="D239" s="121"/>
      <c r="E239" s="121"/>
      <c r="F239" s="121"/>
      <c r="G239" s="121"/>
      <c r="H239" s="232"/>
      <c r="I239" s="121"/>
      <c r="J239" s="120"/>
      <c r="K239" s="120"/>
      <c r="L239" s="121"/>
      <c r="M239" s="121"/>
      <c r="N239" s="127"/>
      <c r="P239" s="121"/>
      <c r="Q239" s="121"/>
    </row>
    <row r="240" spans="1:17" ht="12.75" customHeight="1">
      <c r="A240" s="108"/>
      <c r="B240" s="122"/>
      <c r="C240" s="121"/>
      <c r="D240" s="121"/>
      <c r="E240" s="121"/>
      <c r="F240" s="121"/>
      <c r="G240" s="121"/>
      <c r="H240" s="232"/>
      <c r="I240" s="121"/>
      <c r="J240" s="120"/>
      <c r="K240" s="120"/>
      <c r="L240" s="121"/>
      <c r="M240" s="121"/>
      <c r="N240" s="127"/>
      <c r="P240" s="121"/>
      <c r="Q240" s="121"/>
    </row>
    <row r="241" spans="1:17" ht="12.75" customHeight="1">
      <c r="A241" s="108"/>
      <c r="B241" s="122"/>
      <c r="C241" s="121"/>
      <c r="D241" s="121"/>
      <c r="E241" s="121"/>
      <c r="F241" s="121"/>
      <c r="G241" s="121"/>
      <c r="H241" s="232"/>
      <c r="I241" s="121"/>
      <c r="J241" s="120"/>
      <c r="K241" s="120"/>
      <c r="L241" s="121"/>
      <c r="M241" s="121"/>
      <c r="N241" s="127"/>
      <c r="P241" s="121"/>
      <c r="Q241" s="121"/>
    </row>
    <row r="242" spans="1:17" ht="12.75" customHeight="1">
      <c r="A242" s="108"/>
      <c r="B242" s="122"/>
      <c r="C242" s="121"/>
      <c r="D242" s="121"/>
      <c r="E242" s="121"/>
      <c r="F242" s="121"/>
      <c r="G242" s="121"/>
      <c r="H242" s="232"/>
      <c r="I242" s="121"/>
      <c r="J242" s="120"/>
      <c r="K242" s="120"/>
      <c r="L242" s="121"/>
      <c r="M242" s="121"/>
      <c r="N242" s="127"/>
      <c r="P242" s="121"/>
      <c r="Q242" s="121"/>
    </row>
    <row r="243" spans="1:17" ht="12.75" customHeight="1">
      <c r="A243" s="108"/>
      <c r="B243" s="122"/>
      <c r="C243" s="121"/>
      <c r="D243" s="121"/>
      <c r="E243" s="121"/>
      <c r="F243" s="121"/>
      <c r="G243" s="121"/>
      <c r="H243" s="232"/>
      <c r="I243" s="121"/>
      <c r="J243" s="120"/>
      <c r="K243" s="120"/>
      <c r="L243" s="121"/>
      <c r="M243" s="121"/>
      <c r="N243" s="127"/>
      <c r="P243" s="121"/>
      <c r="Q243" s="121"/>
    </row>
    <row r="244" spans="1:17" ht="12.75" customHeight="1">
      <c r="A244" s="108"/>
      <c r="B244" s="122"/>
      <c r="C244" s="121"/>
      <c r="D244" s="121"/>
      <c r="E244" s="121"/>
      <c r="F244" s="121"/>
      <c r="G244" s="121"/>
      <c r="H244" s="232"/>
      <c r="I244" s="121"/>
      <c r="J244" s="120"/>
      <c r="K244" s="120"/>
      <c r="L244" s="121"/>
      <c r="M244" s="121"/>
      <c r="N244" s="127"/>
      <c r="P244" s="121"/>
      <c r="Q244" s="121"/>
    </row>
    <row r="245" spans="1:17" ht="12.75" customHeight="1">
      <c r="A245" s="108"/>
      <c r="B245" s="122"/>
      <c r="C245" s="121"/>
      <c r="D245" s="121"/>
      <c r="E245" s="121"/>
      <c r="F245" s="121"/>
      <c r="G245" s="121"/>
      <c r="H245" s="232"/>
      <c r="I245" s="121"/>
      <c r="J245" s="120"/>
      <c r="K245" s="120"/>
      <c r="L245" s="121"/>
      <c r="M245" s="121"/>
      <c r="N245" s="127"/>
      <c r="P245" s="121"/>
      <c r="Q245" s="121"/>
    </row>
    <row r="246" spans="1:17" ht="12.75" customHeight="1">
      <c r="A246" s="108"/>
      <c r="B246" s="122"/>
      <c r="C246" s="121"/>
      <c r="D246" s="121"/>
      <c r="E246" s="121"/>
      <c r="F246" s="121"/>
      <c r="G246" s="121"/>
      <c r="H246" s="232"/>
      <c r="I246" s="121"/>
      <c r="J246" s="120"/>
      <c r="K246" s="120"/>
      <c r="L246" s="121"/>
      <c r="M246" s="121"/>
      <c r="N246" s="127"/>
      <c r="P246" s="121"/>
      <c r="Q246" s="121"/>
    </row>
    <row r="247" spans="1:17" ht="12.75" customHeight="1">
      <c r="A247" s="108"/>
      <c r="B247" s="122"/>
      <c r="C247" s="121"/>
      <c r="D247" s="121"/>
      <c r="E247" s="121"/>
      <c r="F247" s="121"/>
      <c r="G247" s="121"/>
      <c r="H247" s="232"/>
      <c r="I247" s="121"/>
      <c r="J247" s="120"/>
      <c r="K247" s="120"/>
      <c r="L247" s="121"/>
      <c r="M247" s="121"/>
      <c r="N247" s="127"/>
      <c r="P247" s="121"/>
      <c r="Q247" s="121"/>
    </row>
    <row r="248" spans="1:17" ht="12.75" customHeight="1">
      <c r="A248" s="108"/>
      <c r="B248" s="122"/>
      <c r="C248" s="121"/>
      <c r="D248" s="121"/>
      <c r="E248" s="121"/>
      <c r="F248" s="121"/>
      <c r="G248" s="121"/>
      <c r="H248" s="232"/>
      <c r="I248" s="121"/>
      <c r="J248" s="120"/>
      <c r="K248" s="120"/>
      <c r="L248" s="121"/>
      <c r="M248" s="121"/>
      <c r="N248" s="127"/>
      <c r="P248" s="121"/>
      <c r="Q248" s="121"/>
    </row>
    <row r="249" spans="1:17" ht="12.75" customHeight="1">
      <c r="A249" s="108"/>
      <c r="B249" s="122"/>
      <c r="C249" s="121"/>
      <c r="D249" s="121"/>
      <c r="E249" s="121"/>
      <c r="F249" s="121"/>
      <c r="G249" s="121"/>
      <c r="H249" s="232"/>
      <c r="I249" s="121"/>
      <c r="J249" s="120"/>
      <c r="K249" s="120"/>
      <c r="L249" s="121"/>
      <c r="M249" s="121"/>
      <c r="N249" s="127"/>
      <c r="P249" s="121"/>
      <c r="Q249" s="121"/>
    </row>
    <row r="250" spans="1:17" ht="12.75" customHeight="1">
      <c r="A250" s="108"/>
      <c r="B250" s="122"/>
      <c r="C250" s="121"/>
      <c r="D250" s="121"/>
      <c r="E250" s="121"/>
      <c r="F250" s="121"/>
      <c r="G250" s="121"/>
      <c r="H250" s="232"/>
      <c r="I250" s="121"/>
      <c r="J250" s="120"/>
      <c r="K250" s="120"/>
      <c r="L250" s="121"/>
      <c r="M250" s="121"/>
      <c r="N250" s="127"/>
      <c r="P250" s="121"/>
      <c r="Q250" s="121"/>
    </row>
    <row r="251" spans="1:17" ht="12.75" customHeight="1">
      <c r="A251" s="108"/>
      <c r="B251" s="122"/>
      <c r="C251" s="121"/>
      <c r="D251" s="121"/>
      <c r="E251" s="121"/>
      <c r="F251" s="121"/>
      <c r="G251" s="121"/>
      <c r="H251" s="232"/>
      <c r="I251" s="121"/>
      <c r="J251" s="120"/>
      <c r="K251" s="120"/>
      <c r="L251" s="121"/>
      <c r="M251" s="121"/>
      <c r="N251" s="127"/>
      <c r="P251" s="121"/>
      <c r="Q251" s="121"/>
    </row>
    <row r="252" spans="1:17" ht="12.75" customHeight="1">
      <c r="A252" s="108"/>
      <c r="B252" s="122"/>
      <c r="C252" s="121"/>
      <c r="D252" s="121"/>
      <c r="E252" s="121"/>
      <c r="F252" s="121"/>
      <c r="G252" s="121"/>
      <c r="H252" s="232"/>
      <c r="I252" s="121"/>
      <c r="J252" s="120"/>
      <c r="K252" s="120"/>
      <c r="L252" s="121"/>
      <c r="M252" s="121"/>
      <c r="N252" s="127"/>
      <c r="P252" s="121"/>
      <c r="Q252" s="121"/>
    </row>
    <row r="253" spans="1:17" ht="12.75" customHeight="1">
      <c r="A253" s="108"/>
      <c r="B253" s="122"/>
      <c r="C253" s="121"/>
      <c r="D253" s="121"/>
      <c r="E253" s="121"/>
      <c r="F253" s="121"/>
      <c r="G253" s="121"/>
      <c r="H253" s="232"/>
      <c r="I253" s="121"/>
      <c r="J253" s="120"/>
      <c r="K253" s="120"/>
      <c r="L253" s="121"/>
      <c r="M253" s="121"/>
      <c r="N253" s="127"/>
      <c r="P253" s="121"/>
      <c r="Q253" s="121"/>
    </row>
    <row r="254" spans="1:17" ht="12.75" customHeight="1">
      <c r="A254" s="108"/>
      <c r="B254" s="122"/>
      <c r="C254" s="121"/>
      <c r="D254" s="121"/>
      <c r="E254" s="121"/>
      <c r="F254" s="121"/>
      <c r="G254" s="121"/>
      <c r="H254" s="232"/>
      <c r="I254" s="121"/>
      <c r="J254" s="120"/>
      <c r="K254" s="120"/>
      <c r="L254" s="121"/>
      <c r="M254" s="121"/>
      <c r="N254" s="127"/>
      <c r="P254" s="121"/>
      <c r="Q254" s="121"/>
    </row>
    <row r="255" spans="1:17" ht="12.75" customHeight="1">
      <c r="A255" s="108"/>
      <c r="B255" s="122"/>
      <c r="C255" s="121"/>
      <c r="D255" s="121"/>
      <c r="E255" s="121"/>
      <c r="F255" s="121"/>
      <c r="G255" s="121"/>
      <c r="H255" s="232"/>
      <c r="I255" s="121"/>
      <c r="J255" s="120"/>
      <c r="K255" s="120"/>
      <c r="L255" s="121"/>
      <c r="M255" s="121"/>
      <c r="N255" s="127"/>
      <c r="P255" s="121"/>
      <c r="Q255" s="121"/>
    </row>
    <row r="256" spans="1:17" ht="12.75" customHeight="1">
      <c r="A256" s="108"/>
      <c r="B256" s="122"/>
      <c r="C256" s="121"/>
      <c r="D256" s="121"/>
      <c r="E256" s="121"/>
      <c r="F256" s="121"/>
      <c r="G256" s="121"/>
      <c r="H256" s="232"/>
      <c r="I256" s="121"/>
      <c r="J256" s="120"/>
      <c r="K256" s="120"/>
      <c r="L256" s="121"/>
      <c r="M256" s="121"/>
      <c r="N256" s="127"/>
      <c r="P256" s="121"/>
      <c r="Q256" s="121"/>
    </row>
    <row r="257" spans="1:17" ht="12.75" customHeight="1">
      <c r="A257" s="108"/>
      <c r="B257" s="122"/>
      <c r="C257" s="121"/>
      <c r="D257" s="121"/>
      <c r="E257" s="121"/>
      <c r="F257" s="121"/>
      <c r="G257" s="121"/>
      <c r="H257" s="232"/>
      <c r="I257" s="121"/>
      <c r="J257" s="120"/>
      <c r="K257" s="120"/>
      <c r="L257" s="121"/>
      <c r="M257" s="121"/>
      <c r="N257" s="127"/>
      <c r="P257" s="121"/>
      <c r="Q257" s="121"/>
    </row>
    <row r="258" spans="1:17" ht="12.75" customHeight="1">
      <c r="A258" s="108"/>
      <c r="B258" s="122"/>
      <c r="C258" s="121"/>
      <c r="D258" s="121"/>
      <c r="E258" s="121"/>
      <c r="F258" s="121"/>
      <c r="G258" s="121"/>
      <c r="H258" s="232"/>
      <c r="I258" s="121"/>
      <c r="J258" s="120"/>
      <c r="K258" s="120"/>
      <c r="L258" s="121"/>
      <c r="M258" s="121"/>
      <c r="N258" s="127"/>
      <c r="P258" s="121"/>
      <c r="Q258" s="121"/>
    </row>
    <row r="259" spans="1:17" ht="12.75" customHeight="1">
      <c r="A259" s="108"/>
      <c r="B259" s="122"/>
      <c r="C259" s="121"/>
      <c r="D259" s="121"/>
      <c r="E259" s="121"/>
      <c r="F259" s="121"/>
      <c r="G259" s="121"/>
      <c r="H259" s="232"/>
      <c r="I259" s="121"/>
      <c r="J259" s="120"/>
      <c r="K259" s="120"/>
      <c r="L259" s="121"/>
      <c r="M259" s="121"/>
      <c r="N259" s="127"/>
      <c r="P259" s="121"/>
      <c r="Q259" s="121"/>
    </row>
    <row r="260" spans="1:17" ht="12.75" customHeight="1">
      <c r="A260" s="108"/>
      <c r="B260" s="122"/>
      <c r="C260" s="121"/>
      <c r="D260" s="121"/>
      <c r="E260" s="121"/>
      <c r="F260" s="121"/>
      <c r="G260" s="121"/>
      <c r="H260" s="232"/>
      <c r="I260" s="121"/>
      <c r="J260" s="120"/>
      <c r="K260" s="120"/>
      <c r="L260" s="121"/>
      <c r="M260" s="121"/>
      <c r="N260" s="127"/>
      <c r="P260" s="121"/>
      <c r="Q260" s="121"/>
    </row>
    <row r="261" spans="1:17" ht="12.75" customHeight="1">
      <c r="A261" s="108"/>
      <c r="B261" s="122"/>
      <c r="C261" s="121"/>
      <c r="D261" s="121"/>
      <c r="E261" s="121"/>
      <c r="F261" s="121"/>
      <c r="G261" s="121"/>
      <c r="H261" s="232"/>
      <c r="I261" s="121"/>
      <c r="J261" s="120"/>
      <c r="K261" s="120"/>
      <c r="L261" s="121"/>
      <c r="M261" s="121"/>
      <c r="N261" s="127"/>
      <c r="P261" s="121"/>
      <c r="Q261" s="121"/>
    </row>
    <row r="262" spans="1:17" ht="12.75" customHeight="1">
      <c r="A262" s="108"/>
      <c r="B262" s="122"/>
      <c r="C262" s="121"/>
      <c r="D262" s="121"/>
      <c r="E262" s="121"/>
      <c r="F262" s="121"/>
      <c r="G262" s="121"/>
      <c r="H262" s="232"/>
      <c r="I262" s="121"/>
      <c r="J262" s="120"/>
      <c r="K262" s="120"/>
      <c r="L262" s="121"/>
      <c r="M262" s="121"/>
      <c r="N262" s="127"/>
      <c r="P262" s="121"/>
      <c r="Q262" s="121"/>
    </row>
    <row r="263" spans="1:17" ht="12.75" customHeight="1">
      <c r="A263" s="108"/>
      <c r="B263" s="122"/>
      <c r="C263" s="121"/>
      <c r="D263" s="121"/>
      <c r="E263" s="121"/>
      <c r="F263" s="121"/>
      <c r="G263" s="121"/>
      <c r="H263" s="232"/>
      <c r="I263" s="121"/>
      <c r="J263" s="120"/>
      <c r="K263" s="120"/>
      <c r="L263" s="121"/>
      <c r="M263" s="121"/>
      <c r="N263" s="127"/>
      <c r="P263" s="121"/>
      <c r="Q263" s="121"/>
    </row>
    <row r="264" spans="1:17" ht="12.75" customHeight="1">
      <c r="A264" s="108"/>
      <c r="B264" s="122"/>
      <c r="C264" s="121"/>
      <c r="D264" s="121"/>
      <c r="E264" s="121"/>
      <c r="F264" s="121"/>
      <c r="G264" s="121"/>
      <c r="H264" s="232"/>
      <c r="I264" s="121"/>
      <c r="J264" s="120"/>
      <c r="K264" s="120"/>
      <c r="L264" s="121"/>
      <c r="M264" s="121"/>
      <c r="N264" s="127"/>
      <c r="P264" s="121"/>
      <c r="Q264" s="121"/>
    </row>
    <row r="265" spans="1:17" ht="12.75" customHeight="1">
      <c r="A265" s="108"/>
      <c r="B265" s="122"/>
      <c r="C265" s="121"/>
      <c r="D265" s="121"/>
      <c r="E265" s="121"/>
      <c r="F265" s="121"/>
      <c r="G265" s="121"/>
      <c r="H265" s="232"/>
      <c r="I265" s="121"/>
      <c r="J265" s="120"/>
      <c r="K265" s="120"/>
      <c r="L265" s="121"/>
      <c r="M265" s="121"/>
      <c r="N265" s="127"/>
      <c r="P265" s="121"/>
      <c r="Q265" s="121"/>
    </row>
    <row r="266" spans="1:17" ht="12.75" customHeight="1">
      <c r="A266" s="108"/>
      <c r="B266" s="122"/>
      <c r="C266" s="121"/>
      <c r="D266" s="121"/>
      <c r="E266" s="121"/>
      <c r="F266" s="121"/>
      <c r="G266" s="121"/>
      <c r="H266" s="232"/>
      <c r="I266" s="121"/>
      <c r="J266" s="120"/>
      <c r="K266" s="120"/>
      <c r="L266" s="121"/>
      <c r="M266" s="121"/>
      <c r="N266" s="127"/>
      <c r="P266" s="121"/>
      <c r="Q266" s="121"/>
    </row>
    <row r="267" spans="1:17" ht="12.75" customHeight="1">
      <c r="A267" s="108"/>
      <c r="B267" s="122"/>
      <c r="C267" s="121"/>
      <c r="D267" s="121"/>
      <c r="E267" s="121"/>
      <c r="F267" s="121"/>
      <c r="G267" s="121"/>
      <c r="H267" s="232"/>
      <c r="I267" s="121"/>
      <c r="J267" s="120"/>
      <c r="K267" s="120"/>
      <c r="L267" s="121"/>
      <c r="M267" s="121"/>
      <c r="N267" s="127"/>
      <c r="P267" s="121"/>
      <c r="Q267" s="121"/>
    </row>
    <row r="268" spans="1:17" ht="12.75" customHeight="1">
      <c r="A268" s="108"/>
      <c r="B268" s="122"/>
      <c r="C268" s="121"/>
      <c r="D268" s="121"/>
      <c r="E268" s="121"/>
      <c r="F268" s="121"/>
      <c r="G268" s="121"/>
      <c r="H268" s="232"/>
      <c r="I268" s="121"/>
      <c r="J268" s="120"/>
      <c r="K268" s="120"/>
      <c r="L268" s="121"/>
      <c r="M268" s="121"/>
      <c r="N268" s="127"/>
      <c r="P268" s="121"/>
      <c r="Q268" s="121"/>
    </row>
    <row r="269" spans="1:17" ht="12.75" customHeight="1">
      <c r="A269" s="108"/>
      <c r="B269" s="122"/>
      <c r="C269" s="121"/>
      <c r="D269" s="121"/>
      <c r="E269" s="121"/>
      <c r="F269" s="121"/>
      <c r="G269" s="121"/>
      <c r="H269" s="232"/>
      <c r="I269" s="121"/>
      <c r="J269" s="120"/>
      <c r="K269" s="120"/>
      <c r="L269" s="121"/>
      <c r="M269" s="121"/>
      <c r="N269" s="127"/>
      <c r="P269" s="121"/>
      <c r="Q269" s="121"/>
    </row>
    <row r="270" spans="1:17" ht="12.75" customHeight="1">
      <c r="A270" s="108"/>
      <c r="B270" s="122"/>
      <c r="C270" s="121"/>
      <c r="D270" s="121"/>
      <c r="E270" s="121"/>
      <c r="F270" s="121"/>
      <c r="G270" s="121"/>
      <c r="H270" s="232"/>
      <c r="I270" s="121"/>
      <c r="J270" s="120"/>
      <c r="K270" s="120"/>
      <c r="L270" s="121"/>
      <c r="M270" s="121"/>
      <c r="N270" s="127"/>
      <c r="P270" s="121"/>
      <c r="Q270" s="121"/>
    </row>
    <row r="271" spans="1:17" ht="12.75" customHeight="1">
      <c r="A271" s="108"/>
      <c r="B271" s="122"/>
      <c r="C271" s="121"/>
      <c r="D271" s="121"/>
      <c r="E271" s="121"/>
      <c r="F271" s="121"/>
      <c r="G271" s="121"/>
      <c r="H271" s="232"/>
      <c r="I271" s="121"/>
      <c r="J271" s="120"/>
      <c r="K271" s="120"/>
      <c r="L271" s="121"/>
      <c r="M271" s="121"/>
      <c r="N271" s="127"/>
      <c r="P271" s="121"/>
      <c r="Q271" s="121"/>
    </row>
    <row r="272" spans="1:17" ht="12.75" customHeight="1">
      <c r="A272" s="108"/>
      <c r="B272" s="122"/>
      <c r="C272" s="121"/>
      <c r="D272" s="121"/>
      <c r="E272" s="121"/>
      <c r="F272" s="121"/>
      <c r="G272" s="121"/>
      <c r="H272" s="232"/>
      <c r="I272" s="121"/>
      <c r="J272" s="120"/>
      <c r="K272" s="120"/>
      <c r="L272" s="121"/>
      <c r="M272" s="121"/>
      <c r="N272" s="127"/>
      <c r="P272" s="121"/>
      <c r="Q272" s="121"/>
    </row>
    <row r="273" spans="1:17" ht="12.75" customHeight="1">
      <c r="A273" s="108"/>
      <c r="B273" s="122"/>
      <c r="C273" s="121"/>
      <c r="D273" s="121"/>
      <c r="E273" s="121"/>
      <c r="F273" s="121"/>
      <c r="G273" s="121"/>
      <c r="H273" s="232"/>
      <c r="I273" s="121"/>
      <c r="J273" s="120"/>
      <c r="K273" s="120"/>
      <c r="L273" s="121"/>
      <c r="M273" s="121"/>
      <c r="N273" s="127"/>
      <c r="P273" s="121"/>
      <c r="Q273" s="121"/>
    </row>
    <row r="274" spans="1:17" ht="12.75" customHeight="1">
      <c r="A274" s="108"/>
      <c r="B274" s="122"/>
      <c r="C274" s="121"/>
      <c r="D274" s="121"/>
      <c r="E274" s="121"/>
      <c r="F274" s="121"/>
      <c r="G274" s="121"/>
      <c r="H274" s="232"/>
      <c r="I274" s="121"/>
      <c r="J274" s="120"/>
      <c r="K274" s="120"/>
      <c r="L274" s="121"/>
      <c r="M274" s="121"/>
      <c r="N274" s="127"/>
      <c r="P274" s="121"/>
      <c r="Q274" s="121"/>
    </row>
    <row r="275" spans="1:17" ht="12.75" customHeight="1">
      <c r="A275" s="108"/>
      <c r="B275" s="122"/>
      <c r="C275" s="121"/>
      <c r="D275" s="121"/>
      <c r="E275" s="121"/>
      <c r="F275" s="121"/>
      <c r="G275" s="121"/>
      <c r="H275" s="232"/>
      <c r="I275" s="121"/>
      <c r="J275" s="120"/>
      <c r="K275" s="120"/>
      <c r="L275" s="121"/>
      <c r="M275" s="121"/>
      <c r="N275" s="127"/>
      <c r="P275" s="121"/>
      <c r="Q275" s="121"/>
    </row>
    <row r="276" spans="1:17" ht="12.75" customHeight="1">
      <c r="A276" s="108"/>
      <c r="B276" s="122"/>
      <c r="C276" s="121"/>
      <c r="D276" s="121"/>
      <c r="E276" s="121"/>
      <c r="F276" s="121"/>
      <c r="G276" s="121"/>
      <c r="H276" s="232"/>
      <c r="I276" s="121"/>
      <c r="J276" s="120"/>
      <c r="K276" s="120"/>
      <c r="L276" s="121"/>
      <c r="M276" s="121"/>
      <c r="N276" s="127"/>
      <c r="P276" s="121"/>
      <c r="Q276" s="121"/>
    </row>
    <row r="277" spans="1:17" ht="12.75" customHeight="1">
      <c r="A277" s="108"/>
      <c r="B277" s="122"/>
      <c r="C277" s="121"/>
      <c r="D277" s="121"/>
      <c r="E277" s="121"/>
      <c r="F277" s="121"/>
      <c r="G277" s="121"/>
      <c r="H277" s="232"/>
      <c r="I277" s="121"/>
      <c r="J277" s="120"/>
      <c r="K277" s="120"/>
      <c r="L277" s="121"/>
      <c r="M277" s="121"/>
      <c r="N277" s="127"/>
      <c r="P277" s="121"/>
      <c r="Q277" s="121"/>
    </row>
    <row r="278" spans="1:17" ht="12.75" customHeight="1">
      <c r="A278" s="108"/>
      <c r="B278" s="122"/>
      <c r="C278" s="121"/>
      <c r="D278" s="121"/>
      <c r="E278" s="121"/>
      <c r="F278" s="121"/>
      <c r="G278" s="121"/>
      <c r="H278" s="232"/>
      <c r="I278" s="121"/>
      <c r="J278" s="120"/>
      <c r="K278" s="120"/>
      <c r="L278" s="121"/>
      <c r="M278" s="121"/>
      <c r="N278" s="127"/>
      <c r="P278" s="121"/>
      <c r="Q278" s="121"/>
    </row>
    <row r="279" spans="1:17" ht="12.75" customHeight="1">
      <c r="A279" s="108"/>
      <c r="B279" s="122"/>
      <c r="C279" s="121"/>
      <c r="D279" s="121"/>
      <c r="E279" s="121"/>
      <c r="F279" s="121"/>
      <c r="G279" s="121"/>
      <c r="H279" s="232"/>
      <c r="I279" s="121"/>
      <c r="J279" s="120"/>
      <c r="K279" s="120"/>
      <c r="L279" s="121"/>
      <c r="M279" s="121"/>
      <c r="N279" s="127"/>
      <c r="P279" s="121"/>
      <c r="Q279" s="121"/>
    </row>
    <row r="280" spans="1:17" ht="12.75" customHeight="1">
      <c r="A280" s="108"/>
      <c r="B280" s="122"/>
      <c r="C280" s="121"/>
      <c r="D280" s="121"/>
      <c r="E280" s="121"/>
      <c r="F280" s="121"/>
      <c r="G280" s="121"/>
      <c r="H280" s="232"/>
      <c r="I280" s="121"/>
      <c r="J280" s="120"/>
      <c r="K280" s="120"/>
      <c r="L280" s="121"/>
      <c r="M280" s="121"/>
      <c r="N280" s="127"/>
      <c r="P280" s="121"/>
      <c r="Q280" s="121"/>
    </row>
    <row r="281" spans="1:17" ht="12.75" customHeight="1">
      <c r="A281" s="108"/>
      <c r="B281" s="122"/>
      <c r="C281" s="121"/>
      <c r="D281" s="121"/>
      <c r="E281" s="121"/>
      <c r="F281" s="121"/>
      <c r="G281" s="121"/>
      <c r="H281" s="232"/>
      <c r="I281" s="121"/>
      <c r="J281" s="120"/>
      <c r="K281" s="120"/>
      <c r="L281" s="121"/>
      <c r="M281" s="121"/>
      <c r="N281" s="127"/>
      <c r="P281" s="121"/>
      <c r="Q281" s="121"/>
    </row>
    <row r="282" spans="1:17" ht="12.75" customHeight="1">
      <c r="A282" s="108"/>
      <c r="B282" s="122"/>
      <c r="C282" s="121"/>
      <c r="D282" s="121"/>
      <c r="E282" s="121"/>
      <c r="F282" s="121"/>
      <c r="G282" s="121"/>
      <c r="H282" s="232"/>
      <c r="I282" s="121"/>
      <c r="J282" s="120"/>
      <c r="K282" s="120"/>
      <c r="L282" s="121"/>
      <c r="M282" s="121"/>
      <c r="N282" s="127"/>
      <c r="P282" s="121"/>
      <c r="Q282" s="121"/>
    </row>
    <row r="283" spans="1:17" ht="12.75" customHeight="1">
      <c r="A283" s="108"/>
      <c r="B283" s="122"/>
      <c r="C283" s="121"/>
      <c r="D283" s="121"/>
      <c r="E283" s="121"/>
      <c r="F283" s="121"/>
      <c r="G283" s="121"/>
      <c r="H283" s="232"/>
      <c r="I283" s="121"/>
      <c r="J283" s="120"/>
      <c r="K283" s="120"/>
      <c r="L283" s="121"/>
      <c r="M283" s="121"/>
      <c r="N283" s="127"/>
      <c r="P283" s="121"/>
      <c r="Q283" s="121"/>
    </row>
    <row r="284" spans="1:17" ht="12.75" customHeight="1">
      <c r="A284" s="108"/>
      <c r="B284" s="122"/>
      <c r="C284" s="121"/>
      <c r="D284" s="121"/>
      <c r="E284" s="121"/>
      <c r="F284" s="121"/>
      <c r="G284" s="121"/>
      <c r="H284" s="232"/>
      <c r="I284" s="121"/>
      <c r="J284" s="120"/>
      <c r="K284" s="120"/>
      <c r="L284" s="121"/>
      <c r="M284" s="121"/>
      <c r="N284" s="127"/>
      <c r="P284" s="121"/>
      <c r="Q284" s="121"/>
    </row>
    <row r="285" spans="1:17" ht="12.75" customHeight="1">
      <c r="A285" s="108"/>
      <c r="B285" s="122"/>
      <c r="C285" s="121"/>
      <c r="D285" s="121"/>
      <c r="E285" s="121"/>
      <c r="F285" s="121"/>
      <c r="G285" s="121"/>
      <c r="H285" s="232"/>
      <c r="I285" s="121"/>
      <c r="J285" s="120"/>
      <c r="K285" s="120"/>
      <c r="L285" s="121"/>
      <c r="M285" s="121"/>
      <c r="N285" s="127"/>
      <c r="P285" s="121"/>
      <c r="Q285" s="121"/>
    </row>
    <row r="286" spans="1:17" ht="12.75" customHeight="1">
      <c r="A286" s="108"/>
      <c r="B286" s="122"/>
      <c r="C286" s="121"/>
      <c r="D286" s="121"/>
      <c r="E286" s="121"/>
      <c r="F286" s="121"/>
      <c r="G286" s="121"/>
      <c r="H286" s="232"/>
      <c r="I286" s="121"/>
      <c r="J286" s="120"/>
      <c r="K286" s="120"/>
      <c r="L286" s="121"/>
      <c r="M286" s="121"/>
      <c r="N286" s="127"/>
      <c r="P286" s="121"/>
      <c r="Q286" s="121"/>
    </row>
    <row r="287" spans="1:17" ht="12.75" customHeight="1">
      <c r="A287" s="108"/>
      <c r="B287" s="122"/>
      <c r="C287" s="121"/>
      <c r="D287" s="121"/>
      <c r="E287" s="121"/>
      <c r="F287" s="121"/>
      <c r="G287" s="121"/>
      <c r="H287" s="232"/>
      <c r="I287" s="121"/>
      <c r="J287" s="120"/>
      <c r="K287" s="120"/>
      <c r="L287" s="121"/>
      <c r="M287" s="121"/>
      <c r="N287" s="127"/>
      <c r="P287" s="121"/>
      <c r="Q287" s="121"/>
    </row>
    <row r="288" spans="1:17" ht="12.75" customHeight="1">
      <c r="A288" s="108"/>
      <c r="B288" s="122"/>
      <c r="C288" s="121"/>
      <c r="D288" s="121"/>
      <c r="E288" s="121"/>
      <c r="F288" s="121"/>
      <c r="G288" s="121"/>
      <c r="H288" s="232"/>
      <c r="I288" s="121"/>
      <c r="J288" s="120"/>
      <c r="K288" s="120"/>
      <c r="L288" s="121"/>
      <c r="M288" s="121"/>
      <c r="N288" s="127"/>
      <c r="P288" s="121"/>
      <c r="Q288" s="121"/>
    </row>
    <row r="289" spans="1:17" ht="12.75" customHeight="1">
      <c r="A289" s="108"/>
      <c r="B289" s="122"/>
      <c r="C289" s="121"/>
      <c r="D289" s="121"/>
      <c r="E289" s="121"/>
      <c r="F289" s="121"/>
      <c r="G289" s="121"/>
      <c r="H289" s="232"/>
      <c r="I289" s="121"/>
      <c r="J289" s="120"/>
      <c r="K289" s="120"/>
      <c r="L289" s="121"/>
      <c r="M289" s="121"/>
      <c r="N289" s="127"/>
      <c r="P289" s="121"/>
      <c r="Q289" s="121"/>
    </row>
    <row r="290" spans="1:17" ht="12.75" customHeight="1">
      <c r="A290" s="108"/>
      <c r="B290" s="122"/>
      <c r="C290" s="121"/>
      <c r="D290" s="121"/>
      <c r="E290" s="121"/>
      <c r="F290" s="121"/>
      <c r="G290" s="121"/>
      <c r="H290" s="232"/>
      <c r="I290" s="121"/>
      <c r="J290" s="120"/>
      <c r="K290" s="120"/>
      <c r="L290" s="121"/>
      <c r="M290" s="121"/>
      <c r="N290" s="127"/>
      <c r="P290" s="121"/>
      <c r="Q290" s="121"/>
    </row>
    <row r="291" spans="1:17" ht="12.75" customHeight="1">
      <c r="A291" s="108"/>
      <c r="B291" s="122"/>
      <c r="C291" s="121"/>
      <c r="D291" s="121"/>
      <c r="E291" s="121"/>
      <c r="F291" s="121"/>
      <c r="G291" s="121"/>
      <c r="H291" s="232"/>
      <c r="I291" s="121"/>
      <c r="J291" s="120"/>
      <c r="K291" s="120"/>
      <c r="L291" s="121"/>
      <c r="M291" s="121"/>
      <c r="N291" s="127"/>
      <c r="P291" s="121"/>
      <c r="Q291" s="121"/>
    </row>
    <row r="292" spans="1:17" ht="12.75" customHeight="1">
      <c r="A292" s="108"/>
      <c r="B292" s="122"/>
      <c r="C292" s="121"/>
      <c r="D292" s="121"/>
      <c r="E292" s="121"/>
      <c r="F292" s="121"/>
      <c r="G292" s="121"/>
      <c r="H292" s="232"/>
      <c r="I292" s="121"/>
      <c r="J292" s="120"/>
      <c r="K292" s="120"/>
      <c r="L292" s="121"/>
      <c r="M292" s="121"/>
      <c r="N292" s="127"/>
      <c r="P292" s="121"/>
      <c r="Q292" s="121"/>
    </row>
    <row r="293" spans="1:17" ht="12.75" customHeight="1">
      <c r="A293" s="108"/>
      <c r="B293" s="122"/>
      <c r="C293" s="121"/>
      <c r="D293" s="121"/>
      <c r="E293" s="121"/>
      <c r="F293" s="121"/>
      <c r="G293" s="121"/>
      <c r="H293" s="232"/>
      <c r="I293" s="121"/>
      <c r="J293" s="120"/>
      <c r="K293" s="120"/>
      <c r="L293" s="121"/>
      <c r="M293" s="121"/>
      <c r="N293" s="127"/>
      <c r="P293" s="121"/>
      <c r="Q293" s="121"/>
    </row>
    <row r="294" spans="1:17" ht="12.75" customHeight="1">
      <c r="A294" s="108"/>
      <c r="B294" s="122"/>
      <c r="C294" s="121"/>
      <c r="D294" s="121"/>
      <c r="E294" s="121"/>
      <c r="F294" s="121"/>
      <c r="G294" s="121"/>
      <c r="H294" s="232"/>
      <c r="I294" s="121"/>
      <c r="J294" s="120"/>
      <c r="K294" s="120"/>
      <c r="L294" s="121"/>
      <c r="M294" s="121"/>
      <c r="N294" s="127"/>
      <c r="P294" s="121"/>
      <c r="Q294" s="121"/>
    </row>
    <row r="295" spans="1:17" ht="12.75" customHeight="1">
      <c r="A295" s="108"/>
      <c r="B295" s="122"/>
      <c r="C295" s="121"/>
      <c r="D295" s="121"/>
      <c r="E295" s="121"/>
      <c r="F295" s="121"/>
      <c r="G295" s="121"/>
      <c r="H295" s="232"/>
      <c r="I295" s="121"/>
      <c r="J295" s="120"/>
      <c r="K295" s="120"/>
      <c r="L295" s="121"/>
      <c r="M295" s="121"/>
      <c r="N295" s="127"/>
      <c r="P295" s="121"/>
      <c r="Q295" s="121"/>
    </row>
    <row r="296" spans="1:17" ht="12.75" customHeight="1">
      <c r="A296" s="108"/>
      <c r="B296" s="122"/>
      <c r="C296" s="121"/>
      <c r="D296" s="121"/>
      <c r="E296" s="121"/>
      <c r="F296" s="121"/>
      <c r="G296" s="121"/>
      <c r="H296" s="232"/>
      <c r="I296" s="121"/>
      <c r="J296" s="120"/>
      <c r="K296" s="120"/>
      <c r="L296" s="121"/>
      <c r="M296" s="121"/>
      <c r="N296" s="127"/>
      <c r="P296" s="121"/>
      <c r="Q296" s="121"/>
    </row>
    <row r="297" spans="1:17" ht="12.75" customHeight="1">
      <c r="A297" s="108"/>
      <c r="B297" s="122"/>
      <c r="C297" s="121"/>
      <c r="D297" s="121"/>
      <c r="E297" s="121"/>
      <c r="F297" s="121"/>
      <c r="G297" s="121"/>
      <c r="H297" s="232"/>
      <c r="I297" s="121"/>
      <c r="J297" s="120"/>
      <c r="K297" s="120"/>
      <c r="L297" s="121"/>
      <c r="M297" s="121"/>
      <c r="N297" s="127"/>
      <c r="P297" s="121"/>
      <c r="Q297" s="121"/>
    </row>
    <row r="298" spans="1:17" ht="12.75" customHeight="1">
      <c r="A298" s="108"/>
      <c r="B298" s="122"/>
      <c r="C298" s="121"/>
      <c r="D298" s="121"/>
      <c r="E298" s="121"/>
      <c r="F298" s="121"/>
      <c r="G298" s="121"/>
      <c r="H298" s="232"/>
      <c r="I298" s="121"/>
      <c r="J298" s="120"/>
      <c r="K298" s="120"/>
      <c r="L298" s="121"/>
      <c r="M298" s="121"/>
      <c r="N298" s="127"/>
      <c r="P298" s="121"/>
      <c r="Q298" s="121"/>
    </row>
    <row r="299" spans="1:17" ht="12.75" customHeight="1">
      <c r="A299" s="108"/>
      <c r="B299" s="122"/>
      <c r="C299" s="121"/>
      <c r="D299" s="121"/>
      <c r="E299" s="121"/>
      <c r="F299" s="121"/>
      <c r="G299" s="121"/>
      <c r="H299" s="232"/>
      <c r="I299" s="121"/>
      <c r="J299" s="120"/>
      <c r="K299" s="120"/>
      <c r="L299" s="121"/>
      <c r="M299" s="121"/>
      <c r="N299" s="127"/>
      <c r="P299" s="121"/>
      <c r="Q299" s="121"/>
    </row>
    <row r="300" spans="1:17" ht="12.75" customHeight="1">
      <c r="A300" s="108"/>
      <c r="B300" s="122"/>
      <c r="C300" s="121"/>
      <c r="D300" s="121"/>
      <c r="E300" s="121"/>
      <c r="F300" s="121"/>
      <c r="G300" s="121"/>
      <c r="H300" s="232"/>
      <c r="I300" s="121"/>
      <c r="J300" s="120"/>
      <c r="K300" s="120"/>
      <c r="L300" s="121"/>
      <c r="M300" s="121"/>
      <c r="N300" s="127"/>
      <c r="P300" s="121"/>
      <c r="Q300" s="121"/>
    </row>
    <row r="301" spans="1:17" ht="12.75" customHeight="1">
      <c r="A301" s="108"/>
      <c r="B301" s="122"/>
      <c r="C301" s="121"/>
      <c r="D301" s="121"/>
      <c r="E301" s="121"/>
      <c r="F301" s="121"/>
      <c r="G301" s="121"/>
      <c r="H301" s="232"/>
      <c r="I301" s="121"/>
      <c r="J301" s="120"/>
      <c r="K301" s="120"/>
      <c r="L301" s="121"/>
      <c r="M301" s="121"/>
      <c r="N301" s="127"/>
      <c r="P301" s="121"/>
      <c r="Q301" s="121"/>
    </row>
    <row r="302" spans="1:17" ht="12.75" customHeight="1">
      <c r="A302" s="108"/>
      <c r="B302" s="122"/>
      <c r="C302" s="121"/>
      <c r="D302" s="121"/>
      <c r="E302" s="121"/>
      <c r="F302" s="121"/>
      <c r="G302" s="121"/>
      <c r="H302" s="232"/>
      <c r="I302" s="121"/>
      <c r="J302" s="120"/>
      <c r="K302" s="120"/>
      <c r="L302" s="121"/>
      <c r="M302" s="121"/>
      <c r="N302" s="127"/>
      <c r="P302" s="121"/>
      <c r="Q302" s="121"/>
    </row>
    <row r="303" spans="1:17" ht="12.75" customHeight="1">
      <c r="A303" s="108"/>
      <c r="B303" s="122"/>
      <c r="C303" s="121"/>
      <c r="D303" s="121"/>
      <c r="E303" s="121"/>
      <c r="F303" s="121"/>
      <c r="G303" s="121"/>
      <c r="H303" s="232"/>
      <c r="I303" s="121"/>
      <c r="J303" s="120"/>
      <c r="K303" s="120"/>
      <c r="L303" s="121"/>
      <c r="M303" s="121"/>
      <c r="N303" s="127"/>
      <c r="P303" s="121"/>
      <c r="Q303" s="121"/>
    </row>
    <row r="304" spans="1:17" ht="12.75" customHeight="1">
      <c r="A304" s="108"/>
      <c r="B304" s="122"/>
      <c r="C304" s="121"/>
      <c r="D304" s="121"/>
      <c r="E304" s="121"/>
      <c r="F304" s="121"/>
      <c r="G304" s="121"/>
      <c r="H304" s="232"/>
      <c r="I304" s="121"/>
      <c r="J304" s="120"/>
      <c r="K304" s="120"/>
      <c r="L304" s="121"/>
      <c r="M304" s="121"/>
      <c r="N304" s="127"/>
      <c r="P304" s="121"/>
      <c r="Q304" s="121"/>
    </row>
    <row r="305" spans="1:17" ht="12.75" customHeight="1">
      <c r="A305" s="108"/>
      <c r="B305" s="122"/>
      <c r="C305" s="121"/>
      <c r="D305" s="121"/>
      <c r="E305" s="121"/>
      <c r="F305" s="121"/>
      <c r="G305" s="121"/>
      <c r="H305" s="232"/>
      <c r="I305" s="121"/>
      <c r="J305" s="120"/>
      <c r="K305" s="120"/>
      <c r="L305" s="121"/>
      <c r="M305" s="121"/>
      <c r="N305" s="127"/>
      <c r="P305" s="121"/>
      <c r="Q305" s="121"/>
    </row>
    <row r="306" spans="1:17" ht="12.75" customHeight="1">
      <c r="A306" s="108"/>
      <c r="B306" s="122"/>
      <c r="C306" s="121"/>
      <c r="D306" s="121"/>
      <c r="E306" s="121"/>
      <c r="F306" s="121"/>
      <c r="G306" s="121"/>
      <c r="H306" s="232"/>
      <c r="I306" s="121"/>
      <c r="J306" s="120"/>
      <c r="K306" s="120"/>
      <c r="L306" s="121"/>
      <c r="M306" s="121"/>
      <c r="N306" s="127"/>
      <c r="P306" s="121"/>
      <c r="Q306" s="121"/>
    </row>
    <row r="307" spans="1:17" ht="12.75" customHeight="1">
      <c r="A307" s="108"/>
      <c r="B307" s="122"/>
      <c r="C307" s="121"/>
      <c r="D307" s="121"/>
      <c r="E307" s="121"/>
      <c r="F307" s="121"/>
      <c r="G307" s="121"/>
      <c r="H307" s="232"/>
      <c r="I307" s="121"/>
      <c r="J307" s="120"/>
      <c r="K307" s="120"/>
      <c r="L307" s="121"/>
      <c r="M307" s="121"/>
      <c r="N307" s="127"/>
      <c r="P307" s="121"/>
      <c r="Q307" s="121"/>
    </row>
    <row r="308" spans="1:17" ht="12.75" customHeight="1">
      <c r="A308" s="108"/>
      <c r="B308" s="122"/>
      <c r="C308" s="121"/>
      <c r="D308" s="121"/>
      <c r="E308" s="121"/>
      <c r="F308" s="121"/>
      <c r="G308" s="121"/>
      <c r="H308" s="232"/>
      <c r="I308" s="121"/>
      <c r="J308" s="120"/>
      <c r="K308" s="120"/>
      <c r="L308" s="121"/>
      <c r="M308" s="121"/>
      <c r="N308" s="121"/>
      <c r="P308" s="121"/>
      <c r="Q308" s="121"/>
    </row>
    <row r="309" spans="1:17" ht="12.75" customHeight="1">
      <c r="A309" s="108"/>
      <c r="B309" s="122"/>
      <c r="C309" s="121"/>
      <c r="D309" s="121"/>
      <c r="E309" s="121"/>
      <c r="F309" s="121"/>
      <c r="G309" s="121"/>
      <c r="H309" s="232"/>
      <c r="I309" s="121"/>
      <c r="J309" s="120"/>
      <c r="K309" s="120"/>
      <c r="L309" s="121"/>
      <c r="M309" s="121"/>
      <c r="N309" s="121"/>
      <c r="P309" s="121"/>
      <c r="Q309" s="121"/>
    </row>
    <row r="310" spans="1:17" ht="12.75" customHeight="1">
      <c r="A310" s="108"/>
      <c r="B310" s="122"/>
      <c r="C310" s="121"/>
      <c r="D310" s="121"/>
      <c r="E310" s="121"/>
      <c r="F310" s="121"/>
      <c r="G310" s="121"/>
      <c r="H310" s="232"/>
      <c r="I310" s="121"/>
      <c r="J310" s="120"/>
      <c r="K310" s="120"/>
      <c r="L310" s="121"/>
      <c r="M310" s="121"/>
      <c r="N310" s="121"/>
      <c r="P310" s="121"/>
      <c r="Q310" s="121"/>
    </row>
    <row r="311" spans="1:17" ht="12.75" customHeight="1">
      <c r="A311" s="108"/>
      <c r="B311" s="122"/>
      <c r="C311" s="121"/>
      <c r="D311" s="121"/>
      <c r="E311" s="121"/>
      <c r="F311" s="121"/>
      <c r="G311" s="121"/>
      <c r="H311" s="232"/>
      <c r="I311" s="121"/>
      <c r="J311" s="120"/>
      <c r="K311" s="120"/>
      <c r="L311" s="121"/>
      <c r="M311" s="121"/>
      <c r="N311" s="121"/>
      <c r="P311" s="121"/>
      <c r="Q311" s="121"/>
    </row>
    <row r="312" spans="1:17" ht="12.75" customHeight="1">
      <c r="A312" s="108"/>
      <c r="B312" s="122"/>
      <c r="C312" s="121"/>
      <c r="D312" s="121"/>
      <c r="E312" s="121"/>
      <c r="F312" s="121"/>
      <c r="G312" s="121"/>
      <c r="H312" s="232"/>
      <c r="I312" s="121"/>
      <c r="J312" s="120"/>
      <c r="K312" s="120"/>
      <c r="L312" s="121"/>
      <c r="M312" s="121"/>
      <c r="N312" s="121"/>
      <c r="P312" s="121"/>
      <c r="Q312" s="121"/>
    </row>
    <row r="313" spans="1:17" ht="12.75" customHeight="1">
      <c r="A313" s="108"/>
      <c r="B313" s="122"/>
      <c r="C313" s="121"/>
      <c r="D313" s="121"/>
      <c r="E313" s="121"/>
      <c r="F313" s="121"/>
      <c r="G313" s="121"/>
      <c r="H313" s="232"/>
      <c r="I313" s="121"/>
      <c r="J313" s="120"/>
      <c r="K313" s="120"/>
      <c r="L313" s="121"/>
      <c r="M313" s="121"/>
      <c r="N313" s="121"/>
      <c r="P313" s="121"/>
      <c r="Q313" s="121"/>
    </row>
    <row r="314" spans="1:17" ht="12.75" customHeight="1">
      <c r="A314" s="108"/>
      <c r="B314" s="122"/>
      <c r="C314" s="121"/>
      <c r="D314" s="121"/>
      <c r="E314" s="121"/>
      <c r="F314" s="121"/>
      <c r="G314" s="121"/>
      <c r="H314" s="232"/>
      <c r="I314" s="121"/>
      <c r="J314" s="120"/>
      <c r="K314" s="120"/>
      <c r="L314" s="121"/>
      <c r="M314" s="121"/>
      <c r="N314" s="121"/>
      <c r="P314" s="121"/>
      <c r="Q314" s="121"/>
    </row>
    <row r="315" spans="1:17" ht="12.75" customHeight="1">
      <c r="A315" s="108"/>
      <c r="B315" s="122"/>
      <c r="C315" s="121"/>
      <c r="D315" s="121"/>
      <c r="E315" s="121"/>
      <c r="F315" s="121"/>
      <c r="G315" s="121"/>
      <c r="H315" s="232"/>
      <c r="I315" s="121"/>
      <c r="J315" s="120"/>
      <c r="K315" s="120"/>
      <c r="L315" s="121"/>
      <c r="M315" s="121"/>
      <c r="N315" s="121"/>
      <c r="P315" s="121"/>
      <c r="Q315" s="121"/>
    </row>
    <row r="316" spans="1:17" ht="12.75" customHeight="1">
      <c r="A316" s="108"/>
      <c r="B316" s="122"/>
      <c r="C316" s="121"/>
      <c r="D316" s="121"/>
      <c r="E316" s="121"/>
      <c r="F316" s="121"/>
      <c r="G316" s="121"/>
      <c r="H316" s="232"/>
      <c r="I316" s="121"/>
      <c r="J316" s="120"/>
      <c r="K316" s="120"/>
      <c r="L316" s="121"/>
      <c r="M316" s="121"/>
      <c r="N316" s="121"/>
      <c r="P316" s="121"/>
      <c r="Q316" s="121"/>
    </row>
    <row r="317" spans="1:17" ht="12.75" customHeight="1">
      <c r="A317" s="108"/>
      <c r="B317" s="122"/>
      <c r="C317" s="121"/>
      <c r="D317" s="121"/>
      <c r="E317" s="121"/>
      <c r="F317" s="121"/>
      <c r="G317" s="121"/>
      <c r="H317" s="232"/>
      <c r="I317" s="121"/>
      <c r="J317" s="120"/>
      <c r="K317" s="120"/>
      <c r="L317" s="121"/>
      <c r="M317" s="121"/>
      <c r="N317" s="121"/>
      <c r="P317" s="121"/>
      <c r="Q317" s="121"/>
    </row>
    <row r="318" spans="1:17" ht="12.75" customHeight="1">
      <c r="A318" s="108"/>
      <c r="B318" s="122"/>
      <c r="C318" s="121"/>
      <c r="D318" s="121"/>
      <c r="E318" s="121"/>
      <c r="F318" s="121"/>
      <c r="G318" s="121"/>
      <c r="H318" s="232"/>
      <c r="I318" s="121"/>
      <c r="J318" s="120"/>
      <c r="K318" s="120"/>
      <c r="L318" s="121"/>
      <c r="M318" s="121"/>
      <c r="N318" s="121"/>
      <c r="P318" s="121"/>
      <c r="Q318" s="121"/>
    </row>
    <row r="319" spans="1:17" ht="12.75" customHeight="1">
      <c r="A319" s="108"/>
      <c r="B319" s="122"/>
      <c r="C319" s="121"/>
      <c r="D319" s="121"/>
      <c r="E319" s="121"/>
      <c r="F319" s="121"/>
      <c r="G319" s="121"/>
      <c r="H319" s="232"/>
      <c r="I319" s="121"/>
      <c r="J319" s="120"/>
      <c r="K319" s="120"/>
      <c r="L319" s="121"/>
      <c r="M319" s="121"/>
      <c r="N319" s="121"/>
      <c r="P319" s="121"/>
      <c r="Q319" s="121"/>
    </row>
    <row r="320" spans="1:17" ht="12.75" customHeight="1">
      <c r="A320" s="108"/>
      <c r="B320" s="108"/>
      <c r="C320" s="121"/>
      <c r="D320" s="121"/>
      <c r="E320" s="121"/>
      <c r="F320" s="121"/>
      <c r="G320" s="121"/>
      <c r="H320" s="121"/>
      <c r="I320" s="121"/>
      <c r="K320" s="120"/>
    </row>
    <row r="321" spans="1:11" ht="12.75" customHeight="1">
      <c r="A321" s="108"/>
      <c r="B321" s="108"/>
      <c r="C321" s="121"/>
      <c r="D321" s="121"/>
      <c r="E321" s="121"/>
      <c r="F321" s="121"/>
      <c r="G321" s="121"/>
      <c r="H321" s="121"/>
      <c r="I321" s="121"/>
      <c r="K321" s="120"/>
    </row>
    <row r="322" spans="1:11" ht="12.75" customHeight="1">
      <c r="A322" s="108"/>
      <c r="B322" s="108"/>
      <c r="C322" s="121"/>
      <c r="D322" s="121"/>
      <c r="E322" s="121"/>
      <c r="F322" s="121"/>
      <c r="G322" s="121"/>
      <c r="H322" s="121"/>
      <c r="I322" s="121"/>
      <c r="K322" s="120"/>
    </row>
    <row r="323" spans="1:11" ht="12.75" customHeight="1">
      <c r="A323" s="108"/>
      <c r="B323" s="108"/>
      <c r="C323" s="121"/>
      <c r="D323" s="121"/>
      <c r="E323" s="121"/>
      <c r="F323" s="121"/>
      <c r="G323" s="121"/>
      <c r="H323" s="121"/>
      <c r="I323" s="121"/>
      <c r="K323" s="120"/>
    </row>
    <row r="324" spans="1:11" ht="12.75" customHeight="1">
      <c r="A324" s="108"/>
      <c r="B324" s="108"/>
      <c r="C324" s="121"/>
      <c r="D324" s="121"/>
      <c r="E324" s="121"/>
      <c r="F324" s="121"/>
      <c r="G324" s="121"/>
      <c r="H324" s="121"/>
      <c r="I324" s="121"/>
      <c r="K324" s="120"/>
    </row>
    <row r="325" spans="1:11" ht="12.75" customHeight="1">
      <c r="A325" s="108"/>
      <c r="B325" s="108"/>
      <c r="C325" s="121"/>
      <c r="D325" s="121"/>
      <c r="E325" s="121"/>
      <c r="F325" s="121"/>
      <c r="G325" s="121"/>
      <c r="H325" s="121"/>
      <c r="I325" s="121"/>
      <c r="K325" s="120"/>
    </row>
    <row r="326" spans="1:11" ht="12.75" customHeight="1">
      <c r="A326" s="108"/>
      <c r="B326" s="108"/>
      <c r="C326" s="121"/>
      <c r="D326" s="121"/>
      <c r="E326" s="121"/>
      <c r="F326" s="121"/>
      <c r="G326" s="121"/>
      <c r="H326" s="121"/>
      <c r="I326" s="121"/>
      <c r="K326" s="120"/>
    </row>
    <row r="327" spans="1:11" ht="12.75" customHeight="1">
      <c r="A327" s="108"/>
      <c r="B327" s="108"/>
      <c r="C327" s="121"/>
      <c r="D327" s="121"/>
      <c r="E327" s="121"/>
      <c r="F327" s="121"/>
      <c r="G327" s="121"/>
      <c r="H327" s="121"/>
      <c r="I327" s="121"/>
      <c r="K327" s="120"/>
    </row>
    <row r="328" spans="1:11" ht="12.75" customHeight="1">
      <c r="A328" s="108"/>
      <c r="B328" s="108"/>
      <c r="C328" s="121"/>
      <c r="D328" s="121"/>
      <c r="E328" s="121"/>
      <c r="F328" s="121"/>
      <c r="G328" s="121"/>
      <c r="H328" s="121"/>
      <c r="I328" s="121"/>
      <c r="K328" s="120"/>
    </row>
    <row r="329" spans="1:11" ht="12.75" customHeight="1">
      <c r="A329" s="108"/>
      <c r="B329" s="108"/>
      <c r="C329" s="121"/>
      <c r="D329" s="121"/>
      <c r="E329" s="121"/>
      <c r="F329" s="121"/>
      <c r="G329" s="121"/>
      <c r="H329" s="121"/>
      <c r="I329" s="121"/>
      <c r="K329" s="120"/>
    </row>
    <row r="330" spans="1:11" ht="12.75" customHeight="1">
      <c r="A330" s="108"/>
      <c r="B330" s="108"/>
      <c r="C330" s="121"/>
      <c r="D330" s="121"/>
      <c r="E330" s="121"/>
      <c r="F330" s="121"/>
      <c r="G330" s="121"/>
      <c r="H330" s="121"/>
      <c r="I330" s="121"/>
      <c r="K330" s="120"/>
    </row>
    <row r="331" spans="1:11" ht="12.75" customHeight="1">
      <c r="A331" s="108"/>
      <c r="B331" s="108"/>
      <c r="C331" s="121"/>
      <c r="D331" s="121"/>
      <c r="E331" s="121"/>
      <c r="F331" s="121"/>
      <c r="G331" s="121"/>
      <c r="H331" s="121"/>
      <c r="I331" s="121"/>
      <c r="K331" s="120"/>
    </row>
    <row r="332" spans="1:11" ht="12.75" customHeight="1">
      <c r="A332" s="108"/>
      <c r="B332" s="108"/>
      <c r="C332" s="121"/>
      <c r="D332" s="121"/>
      <c r="E332" s="121"/>
      <c r="F332" s="121"/>
      <c r="G332" s="121"/>
      <c r="H332" s="121"/>
      <c r="I332" s="121"/>
      <c r="K332" s="120"/>
    </row>
    <row r="333" spans="1:11" ht="12.75" customHeight="1">
      <c r="A333" s="108"/>
      <c r="B333" s="108"/>
      <c r="C333" s="121"/>
      <c r="D333" s="121"/>
      <c r="E333" s="121"/>
      <c r="F333" s="121"/>
      <c r="G333" s="121"/>
      <c r="H333" s="121"/>
      <c r="I333" s="121"/>
      <c r="K333" s="120"/>
    </row>
    <row r="334" spans="1:11" ht="12.75" customHeight="1">
      <c r="A334" s="108"/>
      <c r="B334" s="108"/>
      <c r="C334" s="121"/>
      <c r="D334" s="121"/>
      <c r="E334" s="121"/>
      <c r="F334" s="121"/>
      <c r="G334" s="121"/>
      <c r="H334" s="121"/>
      <c r="I334" s="121"/>
      <c r="K334" s="120"/>
    </row>
    <row r="335" spans="1:11" ht="12.75" customHeight="1">
      <c r="A335" s="108"/>
      <c r="B335" s="108"/>
      <c r="C335" s="121"/>
      <c r="D335" s="121"/>
      <c r="E335" s="121"/>
      <c r="F335" s="121"/>
      <c r="G335" s="121"/>
      <c r="H335" s="121"/>
      <c r="I335" s="121"/>
      <c r="K335" s="120"/>
    </row>
    <row r="336" spans="1:11" ht="12.75" customHeight="1">
      <c r="A336" s="108"/>
      <c r="B336" s="108"/>
      <c r="C336" s="121"/>
      <c r="D336" s="121"/>
      <c r="E336" s="121"/>
      <c r="F336" s="121"/>
      <c r="G336" s="121"/>
      <c r="H336" s="121"/>
      <c r="I336" s="121"/>
      <c r="K336" s="120"/>
    </row>
    <row r="337" spans="1:11" ht="12.75" customHeight="1">
      <c r="A337" s="108"/>
      <c r="B337" s="108"/>
      <c r="C337" s="121"/>
      <c r="D337" s="121"/>
      <c r="E337" s="121"/>
      <c r="F337" s="121"/>
      <c r="G337" s="121"/>
      <c r="H337" s="121"/>
      <c r="I337" s="121"/>
      <c r="K337" s="120"/>
    </row>
    <row r="338" spans="1:11" ht="12.75" customHeight="1">
      <c r="A338" s="108"/>
      <c r="B338" s="108"/>
      <c r="C338" s="121"/>
      <c r="D338" s="121"/>
      <c r="E338" s="121"/>
      <c r="F338" s="121"/>
      <c r="G338" s="121"/>
      <c r="H338" s="121"/>
      <c r="I338" s="121"/>
    </row>
    <row r="339" spans="1:11" ht="12.75" customHeight="1">
      <c r="A339" s="108"/>
      <c r="B339" s="108"/>
      <c r="C339" s="121"/>
      <c r="D339" s="121"/>
      <c r="E339" s="121"/>
      <c r="F339" s="121"/>
      <c r="G339" s="121"/>
      <c r="H339" s="121"/>
      <c r="I339" s="121"/>
    </row>
    <row r="340" spans="1:11" ht="12.75" customHeight="1">
      <c r="A340" s="108"/>
      <c r="B340" s="108"/>
      <c r="C340" s="121"/>
      <c r="D340" s="121"/>
      <c r="E340" s="121"/>
      <c r="F340" s="121"/>
      <c r="G340" s="121"/>
      <c r="H340" s="121"/>
      <c r="I340" s="121"/>
    </row>
    <row r="341" spans="1:11" ht="12.75" customHeight="1">
      <c r="A341" s="108"/>
      <c r="B341" s="108"/>
      <c r="C341" s="121"/>
      <c r="D341" s="121"/>
      <c r="E341" s="121"/>
      <c r="F341" s="121"/>
      <c r="G341" s="121"/>
      <c r="H341" s="121"/>
      <c r="I341" s="121"/>
    </row>
    <row r="342" spans="1:11" ht="12.75" customHeight="1">
      <c r="A342" s="108"/>
      <c r="B342" s="108"/>
      <c r="C342" s="121"/>
      <c r="D342" s="121"/>
      <c r="E342" s="121"/>
      <c r="F342" s="121"/>
      <c r="G342" s="121"/>
      <c r="H342" s="121"/>
      <c r="I342" s="121"/>
    </row>
    <row r="343" spans="1:11" ht="12.75" customHeight="1">
      <c r="A343" s="108"/>
      <c r="B343" s="108"/>
      <c r="C343" s="121"/>
      <c r="D343" s="121"/>
      <c r="E343" s="121"/>
      <c r="F343" s="121"/>
      <c r="G343" s="121"/>
      <c r="H343" s="121"/>
      <c r="I343" s="121"/>
    </row>
    <row r="344" spans="1:11" ht="12.75" customHeight="1">
      <c r="A344" s="108"/>
      <c r="B344" s="108"/>
      <c r="C344" s="121"/>
      <c r="D344" s="121"/>
      <c r="E344" s="121"/>
      <c r="F344" s="121"/>
      <c r="G344" s="121"/>
      <c r="H344" s="121"/>
      <c r="I344" s="121"/>
    </row>
    <row r="345" spans="1:11" ht="12.75" customHeight="1">
      <c r="A345" s="108"/>
      <c r="B345" s="108"/>
      <c r="C345" s="121"/>
      <c r="D345" s="121"/>
      <c r="E345" s="121"/>
      <c r="F345" s="121"/>
      <c r="G345" s="121"/>
      <c r="H345" s="121"/>
      <c r="I345" s="121"/>
    </row>
    <row r="346" spans="1:11" ht="12.75" customHeight="1">
      <c r="A346" s="108"/>
      <c r="B346" s="108"/>
      <c r="C346" s="121"/>
      <c r="D346" s="121"/>
      <c r="E346" s="121"/>
      <c r="F346" s="121"/>
      <c r="G346" s="121"/>
      <c r="H346" s="121"/>
      <c r="I346" s="121"/>
    </row>
    <row r="347" spans="1:11" ht="12.75" customHeight="1">
      <c r="A347" s="108"/>
      <c r="B347" s="108"/>
      <c r="C347" s="121"/>
      <c r="D347" s="121"/>
      <c r="E347" s="121"/>
      <c r="F347" s="121"/>
      <c r="G347" s="121"/>
      <c r="H347" s="121"/>
      <c r="I347" s="121"/>
    </row>
  </sheetData>
  <mergeCells count="2">
    <mergeCell ref="BD2:BE2"/>
    <mergeCell ref="B4:C4"/>
  </mergeCells>
  <pageMargins left="0.75" right="0.75" top="0.79" bottom="0.51" header="0.25" footer="0.13"/>
  <pageSetup paperSize="9" orientation="landscape" blackAndWhite="1" horizontalDpi="300" verticalDpi="300" r:id="rId1"/>
  <headerFooter alignWithMargins="0">
    <oddHeader>&amp;L&amp;A&amp;R&amp;F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539A9-60DF-4638-A6A4-EB4C66C3CAD3}">
  <sheetPr codeName="Sheet49"/>
  <dimension ref="A2:BA583"/>
  <sheetViews>
    <sheetView workbookViewId="0">
      <selection activeCell="Q14" sqref="Q14"/>
    </sheetView>
  </sheetViews>
  <sheetFormatPr defaultColWidth="8.7109375" defaultRowHeight="12.75"/>
  <cols>
    <col min="1" max="1" width="10.5703125" style="114" customWidth="1"/>
    <col min="2" max="2" width="8.7109375" style="114" customWidth="1"/>
    <col min="3" max="19" width="8.7109375" style="115"/>
    <col min="20" max="20" width="10.5703125" style="238" customWidth="1"/>
    <col min="21" max="22" width="8.7109375" style="115"/>
    <col min="23" max="23" width="12.28515625" style="115" bestFit="1" customWidth="1"/>
    <col min="24" max="47" width="8.7109375" style="115"/>
    <col min="48" max="48" width="10.5703125" style="238" customWidth="1"/>
    <col min="49" max="50" width="8.7109375" style="115"/>
    <col min="51" max="51" width="12.28515625" style="115" bestFit="1" customWidth="1"/>
    <col min="52" max="16384" width="8.7109375" style="115"/>
  </cols>
  <sheetData>
    <row r="2" spans="2:53" ht="15.75">
      <c r="C2" s="205" t="s">
        <v>212</v>
      </c>
      <c r="D2" s="206" t="s">
        <v>213</v>
      </c>
    </row>
    <row r="3" spans="2:53">
      <c r="P3" s="120"/>
      <c r="Q3" s="120"/>
      <c r="R3" s="120"/>
      <c r="S3" s="120"/>
      <c r="T3" s="120"/>
      <c r="U3" s="120"/>
      <c r="AR3" s="120"/>
      <c r="AS3" s="120"/>
      <c r="AT3" s="120"/>
      <c r="AU3" s="120"/>
      <c r="AV3" s="120"/>
      <c r="AW3" s="120"/>
    </row>
    <row r="4" spans="2:53">
      <c r="P4" s="120"/>
      <c r="Q4" s="120"/>
      <c r="R4" s="120"/>
      <c r="S4" s="120"/>
      <c r="T4" s="120"/>
      <c r="U4" s="120"/>
      <c r="AR4" s="120"/>
      <c r="AS4" s="120"/>
      <c r="AT4" s="120"/>
      <c r="AU4" s="120"/>
      <c r="AV4" s="120"/>
      <c r="AW4" s="120"/>
    </row>
    <row r="5" spans="2:53">
      <c r="P5" s="120"/>
      <c r="Q5" s="120"/>
      <c r="R5" s="120"/>
      <c r="S5" s="120"/>
      <c r="T5" s="120"/>
      <c r="U5" s="120"/>
      <c r="AR5" s="120"/>
      <c r="AS5" s="120"/>
      <c r="AT5" s="120"/>
      <c r="AU5" s="120"/>
      <c r="AV5" s="120"/>
      <c r="AW5" s="120"/>
    </row>
    <row r="6" spans="2:53">
      <c r="P6" s="120"/>
      <c r="Q6" s="120"/>
      <c r="R6" s="120"/>
      <c r="S6" s="120"/>
      <c r="T6" s="120"/>
      <c r="U6" s="120"/>
      <c r="AR6" s="120"/>
      <c r="AS6" s="120"/>
      <c r="AT6" s="120"/>
      <c r="AU6" s="120"/>
      <c r="AV6" s="120"/>
      <c r="AW6" s="120"/>
    </row>
    <row r="7" spans="2:53">
      <c r="P7" t="s">
        <v>248</v>
      </c>
      <c r="Q7" t="s">
        <v>219</v>
      </c>
      <c r="R7" t="s">
        <v>39</v>
      </c>
      <c r="S7" t="s">
        <v>355</v>
      </c>
      <c r="T7" t="s">
        <v>220</v>
      </c>
      <c r="U7" t="s">
        <v>356</v>
      </c>
      <c r="V7"/>
      <c r="W7"/>
      <c r="X7"/>
      <c r="Y7"/>
      <c r="Z7"/>
      <c r="AR7" t="s">
        <v>248</v>
      </c>
      <c r="AS7" t="s">
        <v>219</v>
      </c>
      <c r="AT7" t="s">
        <v>39</v>
      </c>
      <c r="AU7" t="s">
        <v>355</v>
      </c>
      <c r="AV7" t="s">
        <v>220</v>
      </c>
      <c r="AW7" t="s">
        <v>356</v>
      </c>
      <c r="AX7"/>
      <c r="AY7"/>
      <c r="AZ7"/>
      <c r="BA7"/>
    </row>
    <row r="8" spans="2:53">
      <c r="P8">
        <v>1</v>
      </c>
      <c r="Q8" t="s">
        <v>222</v>
      </c>
      <c r="R8"/>
      <c r="S8"/>
      <c r="T8"/>
      <c r="U8"/>
      <c r="V8"/>
      <c r="W8"/>
      <c r="X8" t="s">
        <v>384</v>
      </c>
      <c r="Y8" t="s">
        <v>244</v>
      </c>
      <c r="Z8"/>
      <c r="AR8">
        <v>1</v>
      </c>
      <c r="AS8" t="s">
        <v>222</v>
      </c>
      <c r="AT8">
        <v>11</v>
      </c>
      <c r="AU8">
        <v>3.2</v>
      </c>
      <c r="AV8">
        <v>259.83999999999997</v>
      </c>
      <c r="AW8">
        <v>4.62</v>
      </c>
      <c r="AX8"/>
      <c r="AY8"/>
      <c r="AZ8" t="s">
        <v>384</v>
      </c>
      <c r="BA8" t="s">
        <v>244</v>
      </c>
    </row>
    <row r="9" spans="2:53">
      <c r="P9">
        <v>1</v>
      </c>
      <c r="Q9" t="s">
        <v>223</v>
      </c>
      <c r="R9"/>
      <c r="S9"/>
      <c r="T9"/>
      <c r="U9"/>
      <c r="V9"/>
      <c r="W9"/>
      <c r="X9">
        <v>-123.96040000000001</v>
      </c>
      <c r="Y9">
        <v>43.141599999999997</v>
      </c>
      <c r="Z9"/>
      <c r="AR9">
        <v>1</v>
      </c>
      <c r="AS9" t="s">
        <v>223</v>
      </c>
      <c r="AT9">
        <v>12.1</v>
      </c>
      <c r="AU9">
        <v>3</v>
      </c>
      <c r="AV9">
        <v>192.91</v>
      </c>
      <c r="AW9">
        <v>7.61</v>
      </c>
      <c r="AX9"/>
      <c r="AY9"/>
      <c r="AZ9">
        <v>-123.96040000000001</v>
      </c>
      <c r="BA9">
        <v>43.141599999999997</v>
      </c>
    </row>
    <row r="10" spans="2:53">
      <c r="P10">
        <v>1</v>
      </c>
      <c r="Q10" t="s">
        <v>224</v>
      </c>
      <c r="R10"/>
      <c r="S10"/>
      <c r="T10"/>
      <c r="U10"/>
      <c r="V10"/>
      <c r="W10"/>
      <c r="X10" t="s">
        <v>338</v>
      </c>
      <c r="Y10"/>
      <c r="Z10"/>
      <c r="AR10">
        <v>1</v>
      </c>
      <c r="AS10" t="s">
        <v>224</v>
      </c>
      <c r="AT10">
        <v>13.6</v>
      </c>
      <c r="AU10">
        <v>3.4</v>
      </c>
      <c r="AV10">
        <v>215.77</v>
      </c>
      <c r="AW10">
        <v>10.55</v>
      </c>
      <c r="AX10"/>
      <c r="AY10"/>
      <c r="AZ10" t="s">
        <v>338</v>
      </c>
      <c r="BA10"/>
    </row>
    <row r="11" spans="2:53">
      <c r="P11">
        <v>1</v>
      </c>
      <c r="Q11" t="s">
        <v>225</v>
      </c>
      <c r="R11"/>
      <c r="S11"/>
      <c r="T11"/>
      <c r="U11"/>
      <c r="V11"/>
      <c r="W11"/>
      <c r="X11"/>
      <c r="Y11"/>
      <c r="Z11"/>
      <c r="AR11">
        <v>1</v>
      </c>
      <c r="AS11" t="s">
        <v>225</v>
      </c>
      <c r="AT11">
        <v>15.4</v>
      </c>
      <c r="AU11">
        <v>4.7</v>
      </c>
      <c r="AV11">
        <v>164.71</v>
      </c>
      <c r="AW11">
        <v>14.99</v>
      </c>
      <c r="AX11"/>
      <c r="AY11"/>
      <c r="AZ11"/>
      <c r="BA11"/>
    </row>
    <row r="12" spans="2:53">
      <c r="B12" s="207" t="s">
        <v>214</v>
      </c>
      <c r="M12" s="207"/>
      <c r="P12">
        <v>1</v>
      </c>
      <c r="Q12" t="s">
        <v>226</v>
      </c>
      <c r="R12"/>
      <c r="S12"/>
      <c r="T12"/>
      <c r="U12"/>
      <c r="V12"/>
      <c r="W12"/>
      <c r="X12"/>
      <c r="Y12"/>
      <c r="Z12"/>
      <c r="AR12">
        <v>1</v>
      </c>
      <c r="AS12" t="s">
        <v>226</v>
      </c>
      <c r="AT12">
        <v>18.2</v>
      </c>
      <c r="AU12">
        <v>6.9</v>
      </c>
      <c r="AV12">
        <v>90.61</v>
      </c>
      <c r="AW12">
        <v>18.96</v>
      </c>
      <c r="AX12"/>
      <c r="AY12"/>
      <c r="AZ12"/>
      <c r="BA12"/>
    </row>
    <row r="13" spans="2:53">
      <c r="B13" s="207" t="s">
        <v>215</v>
      </c>
      <c r="M13" s="207"/>
      <c r="P13">
        <v>1</v>
      </c>
      <c r="Q13" t="s">
        <v>227</v>
      </c>
      <c r="R13"/>
      <c r="S13"/>
      <c r="T13"/>
      <c r="U13"/>
      <c r="V13"/>
      <c r="W13"/>
      <c r="X13"/>
      <c r="Y13"/>
      <c r="Z13"/>
      <c r="AR13">
        <v>1</v>
      </c>
      <c r="AS13" t="s">
        <v>227</v>
      </c>
      <c r="AT13">
        <v>20.9</v>
      </c>
      <c r="AU13">
        <v>8.8000000000000007</v>
      </c>
      <c r="AV13">
        <v>45.74</v>
      </c>
      <c r="AW13">
        <v>21.77</v>
      </c>
      <c r="AX13"/>
      <c r="AY13"/>
      <c r="AZ13"/>
      <c r="BA13"/>
    </row>
    <row r="14" spans="2:53">
      <c r="B14" s="207" t="s">
        <v>216</v>
      </c>
      <c r="M14" s="207"/>
      <c r="P14">
        <v>1</v>
      </c>
      <c r="Q14" t="s">
        <v>228</v>
      </c>
      <c r="R14"/>
      <c r="S14"/>
      <c r="T14"/>
      <c r="U14"/>
      <c r="V14"/>
      <c r="W14"/>
      <c r="X14"/>
      <c r="Y14"/>
      <c r="Z14"/>
      <c r="AR14">
        <v>1</v>
      </c>
      <c r="AS14" t="s">
        <v>228</v>
      </c>
      <c r="AT14">
        <v>24</v>
      </c>
      <c r="AU14">
        <v>10.8</v>
      </c>
      <c r="AV14">
        <v>9.92</v>
      </c>
      <c r="AW14">
        <v>23.38</v>
      </c>
      <c r="AX14"/>
      <c r="AY14"/>
      <c r="AZ14"/>
      <c r="BA14"/>
    </row>
    <row r="15" spans="2:53">
      <c r="B15" s="115"/>
      <c r="M15" s="207"/>
      <c r="P15">
        <v>1</v>
      </c>
      <c r="Q15" t="s">
        <v>229</v>
      </c>
      <c r="R15"/>
      <c r="S15"/>
      <c r="T15"/>
      <c r="U15"/>
      <c r="V15"/>
      <c r="W15"/>
      <c r="X15"/>
      <c r="Y15"/>
      <c r="Z15"/>
      <c r="AR15">
        <v>1</v>
      </c>
      <c r="AS15" t="s">
        <v>229</v>
      </c>
      <c r="AT15">
        <v>25.2</v>
      </c>
      <c r="AU15">
        <v>10.6</v>
      </c>
      <c r="AV15">
        <v>13.16</v>
      </c>
      <c r="AW15">
        <v>20.98</v>
      </c>
      <c r="AX15"/>
      <c r="AY15"/>
      <c r="AZ15"/>
      <c r="BA15"/>
    </row>
    <row r="16" spans="2:53">
      <c r="P16">
        <v>1</v>
      </c>
      <c r="Q16" t="s">
        <v>230</v>
      </c>
      <c r="R16"/>
      <c r="S16"/>
      <c r="T16"/>
      <c r="U16"/>
      <c r="V16"/>
      <c r="W16"/>
      <c r="X16"/>
      <c r="Y16"/>
      <c r="Z16"/>
      <c r="AR16">
        <v>1</v>
      </c>
      <c r="AS16" t="s">
        <v>230</v>
      </c>
      <c r="AT16">
        <v>24.2</v>
      </c>
      <c r="AU16">
        <v>9.5</v>
      </c>
      <c r="AV16">
        <v>40.93</v>
      </c>
      <c r="AW16">
        <v>16.239999999999998</v>
      </c>
      <c r="AX16"/>
      <c r="AY16"/>
      <c r="AZ16"/>
      <c r="BA16"/>
    </row>
    <row r="17" spans="1:53">
      <c r="A17" s="208" t="s">
        <v>217</v>
      </c>
      <c r="B17" s="53" t="s">
        <v>389</v>
      </c>
      <c r="L17" s="208"/>
      <c r="M17" s="209"/>
      <c r="P17">
        <v>1</v>
      </c>
      <c r="Q17" t="s">
        <v>231</v>
      </c>
      <c r="R17"/>
      <c r="S17"/>
      <c r="T17"/>
      <c r="U17"/>
      <c r="V17"/>
      <c r="W17"/>
      <c r="X17"/>
      <c r="Y17"/>
      <c r="Z17"/>
      <c r="AR17">
        <v>1</v>
      </c>
      <c r="AS17" t="s">
        <v>231</v>
      </c>
      <c r="AT17">
        <v>19.5</v>
      </c>
      <c r="AU17">
        <v>6.9</v>
      </c>
      <c r="AV17">
        <v>117.08</v>
      </c>
      <c r="AW17">
        <v>10.51</v>
      </c>
      <c r="AX17"/>
      <c r="AY17"/>
      <c r="AZ17"/>
      <c r="BA17"/>
    </row>
    <row r="18" spans="1:53" s="116" customFormat="1" ht="25.5">
      <c r="A18" s="210" t="s">
        <v>218</v>
      </c>
      <c r="B18" s="210" t="s">
        <v>219</v>
      </c>
      <c r="C18" s="211" t="s">
        <v>39</v>
      </c>
      <c r="D18" s="211" t="s">
        <v>34</v>
      </c>
      <c r="E18" s="211" t="s">
        <v>220</v>
      </c>
      <c r="F18" s="211" t="s">
        <v>221</v>
      </c>
      <c r="G18" s="211"/>
      <c r="H18" s="213"/>
      <c r="I18" s="213"/>
      <c r="J18" s="213"/>
      <c r="K18" s="213"/>
      <c r="L18" s="236"/>
      <c r="M18" s="211"/>
      <c r="N18" s="211"/>
      <c r="O18" s="211"/>
      <c r="P18">
        <v>1</v>
      </c>
      <c r="Q18" t="s">
        <v>232</v>
      </c>
      <c r="R18"/>
      <c r="S18"/>
      <c r="T18"/>
      <c r="U18"/>
      <c r="V18"/>
      <c r="W18"/>
      <c r="X18"/>
      <c r="Y18"/>
      <c r="Z18"/>
      <c r="AB18" s="236"/>
      <c r="AC18" s="210"/>
      <c r="AD18" s="211"/>
      <c r="AE18" s="211"/>
      <c r="AF18" s="211"/>
      <c r="AG18" s="211"/>
      <c r="AH18" s="211"/>
      <c r="AJ18" s="236"/>
      <c r="AK18" s="210"/>
      <c r="AL18" s="211"/>
      <c r="AM18" s="211"/>
      <c r="AN18" s="211"/>
      <c r="AO18" s="211"/>
      <c r="AP18" s="211"/>
      <c r="AR18">
        <v>1</v>
      </c>
      <c r="AS18" t="s">
        <v>232</v>
      </c>
      <c r="AT18">
        <v>13.5</v>
      </c>
      <c r="AU18">
        <v>4.8</v>
      </c>
      <c r="AV18">
        <v>240.93</v>
      </c>
      <c r="AW18">
        <v>5.72</v>
      </c>
      <c r="AX18"/>
      <c r="AY18"/>
      <c r="AZ18"/>
      <c r="BA18"/>
    </row>
    <row r="19" spans="1:53">
      <c r="B19" s="114" t="s">
        <v>222</v>
      </c>
      <c r="C19" s="315">
        <v>11.2</v>
      </c>
      <c r="D19" s="315">
        <v>3</v>
      </c>
      <c r="E19" s="315">
        <v>249.29</v>
      </c>
      <c r="F19" s="315">
        <v>4.62</v>
      </c>
      <c r="G19" s="120"/>
      <c r="H19" s="120"/>
      <c r="I19" s="120"/>
      <c r="J19" s="120"/>
      <c r="K19" s="119"/>
      <c r="L19" s="238"/>
      <c r="P19">
        <v>1</v>
      </c>
      <c r="Q19" t="s">
        <v>233</v>
      </c>
      <c r="R19"/>
      <c r="S19"/>
      <c r="T19"/>
      <c r="U19"/>
      <c r="V19"/>
      <c r="W19"/>
      <c r="X19"/>
      <c r="Y19"/>
      <c r="Z19"/>
      <c r="AR19">
        <v>1</v>
      </c>
      <c r="AS19" t="s">
        <v>233</v>
      </c>
      <c r="AT19">
        <v>10.5</v>
      </c>
      <c r="AU19">
        <v>2.9</v>
      </c>
      <c r="AV19">
        <v>307.47000000000003</v>
      </c>
      <c r="AW19">
        <v>4.03</v>
      </c>
      <c r="AX19"/>
      <c r="AY19"/>
      <c r="AZ19"/>
      <c r="BA19"/>
    </row>
    <row r="20" spans="1:53">
      <c r="B20" s="114" t="s">
        <v>223</v>
      </c>
      <c r="C20" s="315">
        <v>12.5</v>
      </c>
      <c r="D20" s="315">
        <v>2.9</v>
      </c>
      <c r="E20" s="315">
        <v>179.45</v>
      </c>
      <c r="F20" s="315">
        <v>7.72</v>
      </c>
      <c r="G20" s="120"/>
      <c r="H20" s="120"/>
      <c r="I20" s="120"/>
      <c r="J20" s="120"/>
      <c r="K20" s="119"/>
      <c r="L20" s="238"/>
      <c r="P20"/>
      <c r="Q20"/>
      <c r="R20"/>
      <c r="S20"/>
      <c r="T20"/>
      <c r="U20"/>
      <c r="V20"/>
      <c r="W20"/>
      <c r="Z20"/>
      <c r="AR20"/>
      <c r="AS20"/>
      <c r="AT20"/>
      <c r="AU20"/>
      <c r="AV20"/>
      <c r="AW20"/>
      <c r="AX20"/>
      <c r="AY20"/>
    </row>
    <row r="21" spans="1:53">
      <c r="B21" s="114" t="s">
        <v>224</v>
      </c>
      <c r="C21" s="315">
        <v>13.6</v>
      </c>
      <c r="D21" s="315">
        <v>3.6</v>
      </c>
      <c r="E21" s="315">
        <v>200.97</v>
      </c>
      <c r="F21" s="315">
        <v>10.58</v>
      </c>
      <c r="G21" s="120"/>
      <c r="H21" s="120"/>
      <c r="I21" s="120"/>
      <c r="J21" s="120"/>
      <c r="K21" s="119"/>
      <c r="L21" s="238"/>
      <c r="P21"/>
      <c r="Q21"/>
      <c r="R21"/>
      <c r="S21"/>
      <c r="T21"/>
      <c r="U21"/>
      <c r="V21"/>
      <c r="W21"/>
      <c r="Z21"/>
      <c r="AR21"/>
      <c r="AS21"/>
      <c r="AT21"/>
      <c r="AU21"/>
      <c r="AV21"/>
      <c r="AW21"/>
      <c r="AX21"/>
      <c r="AY21"/>
    </row>
    <row r="22" spans="1:53">
      <c r="B22" s="114" t="s">
        <v>225</v>
      </c>
      <c r="C22" s="315">
        <v>15.9</v>
      </c>
      <c r="D22" s="315">
        <v>4.8</v>
      </c>
      <c r="E22" s="315">
        <v>161.85</v>
      </c>
      <c r="F22" s="315">
        <v>14.95</v>
      </c>
      <c r="G22" s="120"/>
      <c r="H22" s="120"/>
      <c r="I22" s="120"/>
      <c r="J22" s="120"/>
      <c r="K22" s="119"/>
      <c r="L22" s="238"/>
      <c r="P22">
        <v>2</v>
      </c>
      <c r="Q22" t="s">
        <v>222</v>
      </c>
      <c r="R22"/>
      <c r="S22"/>
      <c r="T22"/>
      <c r="U22"/>
      <c r="V22"/>
      <c r="W22"/>
      <c r="X22" t="s">
        <v>384</v>
      </c>
      <c r="Y22" t="s">
        <v>244</v>
      </c>
      <c r="Z22"/>
      <c r="AR22">
        <v>2</v>
      </c>
      <c r="AS22" t="s">
        <v>222</v>
      </c>
      <c r="AT22">
        <v>5.2</v>
      </c>
      <c r="AU22">
        <v>-0.5</v>
      </c>
      <c r="AV22">
        <v>407.9</v>
      </c>
      <c r="AW22">
        <v>2.88</v>
      </c>
      <c r="AX22"/>
      <c r="AY22"/>
      <c r="AZ22" t="s">
        <v>384</v>
      </c>
      <c r="BA22" t="s">
        <v>244</v>
      </c>
    </row>
    <row r="23" spans="1:53">
      <c r="B23" s="114" t="s">
        <v>226</v>
      </c>
      <c r="C23" s="315">
        <v>19</v>
      </c>
      <c r="D23" s="315">
        <v>7.1</v>
      </c>
      <c r="E23" s="315">
        <v>89.48</v>
      </c>
      <c r="F23" s="315">
        <v>18.98</v>
      </c>
      <c r="G23" s="120"/>
      <c r="H23" s="120"/>
      <c r="I23" s="120"/>
      <c r="J23" s="120"/>
      <c r="K23" s="119"/>
      <c r="L23" s="238"/>
      <c r="P23">
        <v>2</v>
      </c>
      <c r="Q23" t="s">
        <v>223</v>
      </c>
      <c r="R23"/>
      <c r="S23"/>
      <c r="T23"/>
      <c r="U23"/>
      <c r="V23"/>
      <c r="W23"/>
      <c r="X23">
        <v>-121.65989999999999</v>
      </c>
      <c r="Y23">
        <v>48.279600000000002</v>
      </c>
      <c r="Z23"/>
      <c r="AR23">
        <v>2</v>
      </c>
      <c r="AS23" t="s">
        <v>223</v>
      </c>
      <c r="AT23">
        <v>6.9</v>
      </c>
      <c r="AU23">
        <v>-0.2</v>
      </c>
      <c r="AV23">
        <v>264.47000000000003</v>
      </c>
      <c r="AW23">
        <v>5.48</v>
      </c>
      <c r="AX23"/>
      <c r="AY23"/>
      <c r="AZ23">
        <v>-121.65989999999999</v>
      </c>
      <c r="BA23">
        <v>48.279600000000002</v>
      </c>
    </row>
    <row r="24" spans="1:53">
      <c r="B24" s="114" t="s">
        <v>227</v>
      </c>
      <c r="C24" s="315">
        <v>21.4</v>
      </c>
      <c r="D24" s="315">
        <v>9.1999999999999993</v>
      </c>
      <c r="E24" s="315">
        <v>41.89</v>
      </c>
      <c r="F24" s="315">
        <v>21.75</v>
      </c>
      <c r="G24" s="120"/>
      <c r="H24" s="120"/>
      <c r="I24" s="120"/>
      <c r="J24" s="120"/>
      <c r="K24" s="119"/>
      <c r="L24" s="238"/>
      <c r="P24">
        <v>2</v>
      </c>
      <c r="Q24" t="s">
        <v>224</v>
      </c>
      <c r="R24"/>
      <c r="S24"/>
      <c r="T24"/>
      <c r="U24"/>
      <c r="V24"/>
      <c r="W24"/>
      <c r="X24" t="s">
        <v>338</v>
      </c>
      <c r="Y24"/>
      <c r="Z24"/>
      <c r="AR24">
        <v>2</v>
      </c>
      <c r="AS24" t="s">
        <v>224</v>
      </c>
      <c r="AT24">
        <v>9.3000000000000007</v>
      </c>
      <c r="AU24">
        <v>0.6</v>
      </c>
      <c r="AV24">
        <v>318.16000000000003</v>
      </c>
      <c r="AW24">
        <v>8.6999999999999993</v>
      </c>
      <c r="AX24"/>
      <c r="AY24"/>
      <c r="AZ24" t="s">
        <v>338</v>
      </c>
      <c r="BA24"/>
    </row>
    <row r="25" spans="1:53">
      <c r="B25" s="114" t="s">
        <v>228</v>
      </c>
      <c r="C25" s="315">
        <v>24.1</v>
      </c>
      <c r="D25" s="315">
        <v>11</v>
      </c>
      <c r="E25" s="315">
        <v>9.74</v>
      </c>
      <c r="F25" s="315">
        <v>23.28</v>
      </c>
      <c r="G25" s="120"/>
      <c r="H25" s="120"/>
      <c r="I25" s="120"/>
      <c r="J25" s="120"/>
      <c r="K25" s="119"/>
      <c r="L25" s="238"/>
      <c r="P25">
        <v>2</v>
      </c>
      <c r="Q25" t="s">
        <v>225</v>
      </c>
      <c r="R25"/>
      <c r="S25"/>
      <c r="T25"/>
      <c r="U25"/>
      <c r="V25"/>
      <c r="W25"/>
      <c r="X25"/>
      <c r="Y25"/>
      <c r="Z25"/>
      <c r="AR25">
        <v>2</v>
      </c>
      <c r="AS25" t="s">
        <v>225</v>
      </c>
      <c r="AT25">
        <v>13.1</v>
      </c>
      <c r="AU25">
        <v>2.7</v>
      </c>
      <c r="AV25">
        <v>192.63</v>
      </c>
      <c r="AW25">
        <v>13.96</v>
      </c>
      <c r="AX25"/>
      <c r="AY25"/>
      <c r="AZ25"/>
      <c r="BA25"/>
    </row>
    <row r="26" spans="1:53">
      <c r="B26" s="114" t="s">
        <v>229</v>
      </c>
      <c r="C26" s="315">
        <v>25.2</v>
      </c>
      <c r="D26" s="315">
        <v>10.8</v>
      </c>
      <c r="E26" s="315">
        <v>11.57</v>
      </c>
      <c r="F26" s="315">
        <v>21</v>
      </c>
      <c r="G26" s="120"/>
      <c r="H26" s="120"/>
      <c r="I26" s="120"/>
      <c r="J26" s="120"/>
      <c r="K26" s="119"/>
      <c r="L26" s="238"/>
      <c r="P26">
        <v>2</v>
      </c>
      <c r="Q26" t="s">
        <v>226</v>
      </c>
      <c r="R26"/>
      <c r="S26"/>
      <c r="T26"/>
      <c r="U26"/>
      <c r="V26"/>
      <c r="W26"/>
      <c r="X26"/>
      <c r="Y26"/>
      <c r="Z26"/>
      <c r="AR26">
        <v>2</v>
      </c>
      <c r="AS26" t="s">
        <v>226</v>
      </c>
      <c r="AT26">
        <v>17.3</v>
      </c>
      <c r="AU26">
        <v>6.1</v>
      </c>
      <c r="AV26">
        <v>126.37</v>
      </c>
      <c r="AW26">
        <v>17.420000000000002</v>
      </c>
      <c r="AX26"/>
      <c r="AY26"/>
      <c r="AZ26"/>
      <c r="BA26"/>
    </row>
    <row r="27" spans="1:53">
      <c r="B27" s="114" t="s">
        <v>230</v>
      </c>
      <c r="C27" s="315">
        <v>24.3</v>
      </c>
      <c r="D27" s="315">
        <v>9.3000000000000007</v>
      </c>
      <c r="E27" s="315">
        <v>40.590000000000003</v>
      </c>
      <c r="F27" s="315">
        <v>16.260000000000002</v>
      </c>
      <c r="G27" s="120"/>
      <c r="H27" s="120"/>
      <c r="I27" s="120"/>
      <c r="J27" s="120"/>
      <c r="K27" s="119"/>
      <c r="L27" s="238"/>
      <c r="P27">
        <v>2</v>
      </c>
      <c r="Q27" t="s">
        <v>227</v>
      </c>
      <c r="R27"/>
      <c r="S27"/>
      <c r="T27"/>
      <c r="U27"/>
      <c r="V27"/>
      <c r="W27"/>
      <c r="X27"/>
      <c r="Y27"/>
      <c r="Z27"/>
      <c r="AR27">
        <v>2</v>
      </c>
      <c r="AS27" t="s">
        <v>227</v>
      </c>
      <c r="AT27">
        <v>20</v>
      </c>
      <c r="AU27">
        <v>8.6999999999999993</v>
      </c>
      <c r="AV27">
        <v>86.48</v>
      </c>
      <c r="AW27">
        <v>18.399999999999999</v>
      </c>
      <c r="AX27"/>
      <c r="AY27"/>
      <c r="AZ27"/>
      <c r="BA27"/>
    </row>
    <row r="28" spans="1:53">
      <c r="B28" s="114" t="s">
        <v>231</v>
      </c>
      <c r="C28" s="315">
        <v>19.8</v>
      </c>
      <c r="D28" s="315">
        <v>6.8</v>
      </c>
      <c r="E28" s="315">
        <v>107.54</v>
      </c>
      <c r="F28" s="315">
        <v>10.45</v>
      </c>
      <c r="G28" s="120"/>
      <c r="H28" s="120"/>
      <c r="I28" s="120"/>
      <c r="J28" s="120"/>
      <c r="K28" s="119"/>
      <c r="L28" s="238"/>
      <c r="P28">
        <v>2</v>
      </c>
      <c r="Q28" t="s">
        <v>228</v>
      </c>
      <c r="R28"/>
      <c r="S28"/>
      <c r="T28"/>
      <c r="U28"/>
      <c r="V28"/>
      <c r="W28"/>
      <c r="X28"/>
      <c r="Y28"/>
      <c r="Z28"/>
      <c r="AR28">
        <v>2</v>
      </c>
      <c r="AS28" t="s">
        <v>228</v>
      </c>
      <c r="AT28">
        <v>24.3</v>
      </c>
      <c r="AU28">
        <v>11.5</v>
      </c>
      <c r="AV28">
        <v>41.73</v>
      </c>
      <c r="AW28">
        <v>20.6</v>
      </c>
      <c r="AX28"/>
      <c r="AY28"/>
      <c r="AZ28"/>
      <c r="BA28"/>
    </row>
    <row r="29" spans="1:53">
      <c r="B29" s="114" t="s">
        <v>232</v>
      </c>
      <c r="C29" s="315">
        <v>13.6</v>
      </c>
      <c r="D29" s="315">
        <v>4.7</v>
      </c>
      <c r="E29" s="315">
        <v>228.27</v>
      </c>
      <c r="F29" s="315">
        <v>5.71</v>
      </c>
      <c r="G29" s="120"/>
      <c r="H29" s="120"/>
      <c r="I29" s="120"/>
      <c r="J29" s="120"/>
      <c r="K29" s="119"/>
      <c r="L29" s="238"/>
      <c r="P29">
        <v>2</v>
      </c>
      <c r="Q29" t="s">
        <v>229</v>
      </c>
      <c r="R29"/>
      <c r="S29"/>
      <c r="T29"/>
      <c r="U29"/>
      <c r="V29"/>
      <c r="W29"/>
      <c r="X29"/>
      <c r="Y29"/>
      <c r="Z29"/>
      <c r="AR29">
        <v>2</v>
      </c>
      <c r="AS29" t="s">
        <v>229</v>
      </c>
      <c r="AT29">
        <v>24.8</v>
      </c>
      <c r="AU29">
        <v>11.8</v>
      </c>
      <c r="AV29">
        <v>56.19</v>
      </c>
      <c r="AW29">
        <v>17.600000000000001</v>
      </c>
      <c r="AX29"/>
      <c r="AY29"/>
      <c r="AZ29"/>
      <c r="BA29"/>
    </row>
    <row r="30" spans="1:53">
      <c r="B30" s="114" t="s">
        <v>233</v>
      </c>
      <c r="C30" s="315">
        <v>10.5</v>
      </c>
      <c r="D30" s="315">
        <v>2.6</v>
      </c>
      <c r="E30" s="315">
        <v>289.14</v>
      </c>
      <c r="F30" s="315">
        <v>4.03</v>
      </c>
      <c r="G30" s="120"/>
      <c r="H30" s="120"/>
      <c r="I30" s="120"/>
      <c r="J30" s="120"/>
      <c r="K30" s="119"/>
      <c r="L30" s="238"/>
      <c r="P30">
        <v>2</v>
      </c>
      <c r="Q30" t="s">
        <v>230</v>
      </c>
      <c r="R30"/>
      <c r="S30"/>
      <c r="T30"/>
      <c r="U30"/>
      <c r="V30"/>
      <c r="W30"/>
      <c r="X30"/>
      <c r="Y30"/>
      <c r="Z30"/>
      <c r="AR30">
        <v>2</v>
      </c>
      <c r="AS30" t="s">
        <v>230</v>
      </c>
      <c r="AT30">
        <v>20.8</v>
      </c>
      <c r="AU30">
        <v>9</v>
      </c>
      <c r="AV30">
        <v>117.67</v>
      </c>
      <c r="AW30">
        <v>12.87</v>
      </c>
      <c r="AX30"/>
      <c r="AY30"/>
      <c r="AZ30"/>
      <c r="BA30"/>
    </row>
    <row r="31" spans="1:53">
      <c r="E31" s="117"/>
      <c r="J31" s="213"/>
      <c r="L31" s="238"/>
      <c r="P31">
        <v>2</v>
      </c>
      <c r="Q31" t="s">
        <v>231</v>
      </c>
      <c r="R31"/>
      <c r="S31"/>
      <c r="T31"/>
      <c r="U31"/>
      <c r="V31"/>
      <c r="W31"/>
      <c r="X31"/>
      <c r="Y31"/>
      <c r="Z31"/>
      <c r="AR31">
        <v>2</v>
      </c>
      <c r="AS31" t="s">
        <v>231</v>
      </c>
      <c r="AT31">
        <v>13.5</v>
      </c>
      <c r="AU31">
        <v>5.0999999999999996</v>
      </c>
      <c r="AV31">
        <v>289.88</v>
      </c>
      <c r="AW31">
        <v>6.88</v>
      </c>
      <c r="AX31"/>
      <c r="AY31"/>
      <c r="AZ31"/>
      <c r="BA31"/>
    </row>
    <row r="32" spans="1:53">
      <c r="E32" s="212"/>
      <c r="F32" s="212"/>
      <c r="J32" s="213"/>
      <c r="L32" s="238"/>
      <c r="P32">
        <v>2</v>
      </c>
      <c r="Q32" t="s">
        <v>232</v>
      </c>
      <c r="R32"/>
      <c r="S32"/>
      <c r="T32"/>
      <c r="U32"/>
      <c r="V32"/>
      <c r="W32"/>
      <c r="X32"/>
      <c r="Y32"/>
      <c r="Z32"/>
      <c r="AR32">
        <v>2</v>
      </c>
      <c r="AS32" t="s">
        <v>232</v>
      </c>
      <c r="AT32">
        <v>7.6</v>
      </c>
      <c r="AU32">
        <v>1.6</v>
      </c>
      <c r="AV32">
        <v>456.84</v>
      </c>
      <c r="AW32">
        <v>3.58</v>
      </c>
      <c r="AX32"/>
      <c r="AY32"/>
      <c r="AZ32"/>
      <c r="BA32"/>
    </row>
    <row r="33" spans="5:53">
      <c r="E33" s="212"/>
      <c r="F33" s="212"/>
      <c r="J33" s="213"/>
      <c r="L33" s="238"/>
      <c r="P33">
        <v>2</v>
      </c>
      <c r="Q33" t="s">
        <v>233</v>
      </c>
      <c r="R33"/>
      <c r="S33"/>
      <c r="T33"/>
      <c r="U33"/>
      <c r="V33"/>
      <c r="W33"/>
      <c r="X33"/>
      <c r="Y33"/>
      <c r="Z33"/>
      <c r="AR33">
        <v>2</v>
      </c>
      <c r="AS33" t="s">
        <v>233</v>
      </c>
      <c r="AT33">
        <v>4.7</v>
      </c>
      <c r="AU33">
        <v>-0.3</v>
      </c>
      <c r="AV33">
        <v>370.81</v>
      </c>
      <c r="AW33">
        <v>2.23</v>
      </c>
      <c r="AX33"/>
      <c r="AY33"/>
      <c r="AZ33"/>
      <c r="BA33"/>
    </row>
    <row r="34" spans="5:53">
      <c r="E34" s="212"/>
      <c r="F34" s="212"/>
      <c r="L34" s="238"/>
      <c r="P34"/>
      <c r="Q34"/>
      <c r="R34"/>
      <c r="S34"/>
      <c r="T34"/>
      <c r="U34"/>
      <c r="V34"/>
      <c r="W34"/>
      <c r="X34"/>
      <c r="Y34"/>
      <c r="Z34"/>
      <c r="AR34"/>
      <c r="AS34"/>
      <c r="AT34"/>
      <c r="AU34"/>
      <c r="AV34"/>
      <c r="AW34"/>
      <c r="AX34"/>
      <c r="AY34"/>
      <c r="AZ34"/>
      <c r="BA34"/>
    </row>
    <row r="35" spans="5:53" s="116" customFormat="1">
      <c r="E35" s="212"/>
      <c r="F35" s="212"/>
      <c r="G35" s="115"/>
      <c r="L35" s="238"/>
      <c r="P35"/>
      <c r="Q35"/>
      <c r="R35"/>
      <c r="S35"/>
      <c r="T35"/>
      <c r="U35"/>
      <c r="V35"/>
      <c r="W35"/>
      <c r="X35"/>
      <c r="Y35"/>
      <c r="Z35"/>
      <c r="AR35"/>
      <c r="AS35"/>
      <c r="AT35"/>
      <c r="AU35"/>
      <c r="AV35"/>
      <c r="AW35"/>
      <c r="AX35"/>
      <c r="AY35"/>
      <c r="AZ35"/>
      <c r="BA35"/>
    </row>
    <row r="36" spans="5:53">
      <c r="E36" s="212"/>
      <c r="F36" s="212"/>
      <c r="L36" s="238"/>
      <c r="P36">
        <v>3</v>
      </c>
      <c r="Q36" t="s">
        <v>222</v>
      </c>
      <c r="R36"/>
      <c r="S36"/>
      <c r="T36"/>
      <c r="U36"/>
      <c r="V36"/>
      <c r="W36"/>
      <c r="X36" t="s">
        <v>384</v>
      </c>
      <c r="Y36" t="s">
        <v>244</v>
      </c>
      <c r="Z36"/>
      <c r="AR36">
        <v>3</v>
      </c>
      <c r="AS36" t="s">
        <v>222</v>
      </c>
      <c r="AT36">
        <v>8.6999999999999993</v>
      </c>
      <c r="AU36">
        <v>2.9</v>
      </c>
      <c r="AV36">
        <v>351.12</v>
      </c>
      <c r="AW36">
        <v>4.03</v>
      </c>
      <c r="AX36"/>
      <c r="AY36"/>
      <c r="AZ36" t="s">
        <v>384</v>
      </c>
      <c r="BA36" t="s">
        <v>244</v>
      </c>
    </row>
    <row r="37" spans="5:53">
      <c r="E37" s="212"/>
      <c r="F37" s="212"/>
      <c r="L37" s="238"/>
      <c r="P37">
        <v>3</v>
      </c>
      <c r="Q37" t="s">
        <v>223</v>
      </c>
      <c r="R37"/>
      <c r="S37"/>
      <c r="T37"/>
      <c r="U37"/>
      <c r="V37"/>
      <c r="W37"/>
      <c r="X37">
        <v>-123.9632</v>
      </c>
      <c r="Y37">
        <v>44.260199999999998</v>
      </c>
      <c r="Z37"/>
      <c r="AR37">
        <v>3</v>
      </c>
      <c r="AS37" t="s">
        <v>223</v>
      </c>
      <c r="AT37">
        <v>9.9</v>
      </c>
      <c r="AU37">
        <v>2.7</v>
      </c>
      <c r="AV37">
        <v>246.59</v>
      </c>
      <c r="AW37">
        <v>6.58</v>
      </c>
      <c r="AX37"/>
      <c r="AY37"/>
      <c r="AZ37">
        <v>-123.9632</v>
      </c>
      <c r="BA37">
        <v>44.260199999999998</v>
      </c>
    </row>
    <row r="38" spans="5:53">
      <c r="E38" s="212"/>
      <c r="F38" s="212"/>
      <c r="L38" s="238"/>
      <c r="P38">
        <v>3</v>
      </c>
      <c r="Q38" t="s">
        <v>224</v>
      </c>
      <c r="R38"/>
      <c r="S38"/>
      <c r="T38"/>
      <c r="U38"/>
      <c r="V38"/>
      <c r="W38"/>
      <c r="X38" t="s">
        <v>338</v>
      </c>
      <c r="Y38"/>
      <c r="Z38"/>
      <c r="AR38">
        <v>3</v>
      </c>
      <c r="AS38" t="s">
        <v>224</v>
      </c>
      <c r="AT38">
        <v>11.7</v>
      </c>
      <c r="AU38">
        <v>3.3</v>
      </c>
      <c r="AV38">
        <v>271.08</v>
      </c>
      <c r="AW38">
        <v>9.82</v>
      </c>
      <c r="AX38"/>
      <c r="AY38"/>
      <c r="AZ38" t="s">
        <v>338</v>
      </c>
      <c r="BA38"/>
    </row>
    <row r="39" spans="5:53">
      <c r="E39" s="212"/>
      <c r="F39" s="212"/>
      <c r="L39" s="238"/>
      <c r="P39">
        <v>3</v>
      </c>
      <c r="Q39" t="s">
        <v>225</v>
      </c>
      <c r="R39"/>
      <c r="S39"/>
      <c r="T39"/>
      <c r="U39"/>
      <c r="V39"/>
      <c r="W39"/>
      <c r="X39"/>
      <c r="Y39"/>
      <c r="Z39"/>
      <c r="AR39">
        <v>3</v>
      </c>
      <c r="AS39" t="s">
        <v>225</v>
      </c>
      <c r="AT39">
        <v>13.8</v>
      </c>
      <c r="AU39">
        <v>4.4000000000000004</v>
      </c>
      <c r="AV39">
        <v>212</v>
      </c>
      <c r="AW39">
        <v>14.41</v>
      </c>
      <c r="AX39"/>
      <c r="AY39"/>
      <c r="AZ39"/>
      <c r="BA39"/>
    </row>
    <row r="40" spans="5:53">
      <c r="E40" s="212"/>
      <c r="F40" s="212"/>
      <c r="L40" s="238"/>
      <c r="P40">
        <v>3</v>
      </c>
      <c r="Q40" t="s">
        <v>226</v>
      </c>
      <c r="R40"/>
      <c r="S40"/>
      <c r="T40"/>
      <c r="U40"/>
      <c r="V40"/>
      <c r="W40"/>
      <c r="X40"/>
      <c r="Y40"/>
      <c r="Z40"/>
      <c r="AR40">
        <v>3</v>
      </c>
      <c r="AS40" t="s">
        <v>226</v>
      </c>
      <c r="AT40">
        <v>16.899999999999999</v>
      </c>
      <c r="AU40">
        <v>6.8</v>
      </c>
      <c r="AV40">
        <v>121.68</v>
      </c>
      <c r="AW40">
        <v>18.62</v>
      </c>
      <c r="AX40"/>
      <c r="AY40"/>
      <c r="AZ40"/>
      <c r="BA40"/>
    </row>
    <row r="41" spans="5:53">
      <c r="E41" s="212"/>
      <c r="F41" s="212"/>
      <c r="L41" s="238"/>
      <c r="P41">
        <v>3</v>
      </c>
      <c r="Q41" t="s">
        <v>227</v>
      </c>
      <c r="R41"/>
      <c r="S41"/>
      <c r="T41"/>
      <c r="U41"/>
      <c r="V41"/>
      <c r="W41"/>
      <c r="X41"/>
      <c r="Y41"/>
      <c r="Z41"/>
      <c r="AR41">
        <v>3</v>
      </c>
      <c r="AS41" t="s">
        <v>227</v>
      </c>
      <c r="AT41">
        <v>19.3</v>
      </c>
      <c r="AU41">
        <v>8.9</v>
      </c>
      <c r="AV41">
        <v>77.900000000000006</v>
      </c>
      <c r="AW41">
        <v>20.2</v>
      </c>
      <c r="AX41"/>
      <c r="AY41"/>
      <c r="AZ41"/>
      <c r="BA41"/>
    </row>
    <row r="42" spans="5:53">
      <c r="E42" s="212"/>
      <c r="F42" s="212"/>
      <c r="L42" s="238"/>
      <c r="P42">
        <v>3</v>
      </c>
      <c r="Q42" t="s">
        <v>228</v>
      </c>
      <c r="R42"/>
      <c r="S42"/>
      <c r="T42"/>
      <c r="U42"/>
      <c r="AR42">
        <v>3</v>
      </c>
      <c r="AS42" t="s">
        <v>228</v>
      </c>
      <c r="AT42">
        <v>22.9</v>
      </c>
      <c r="AU42">
        <v>10.7</v>
      </c>
      <c r="AV42">
        <v>17.350000000000001</v>
      </c>
      <c r="AW42">
        <v>23.01</v>
      </c>
    </row>
    <row r="43" spans="5:53">
      <c r="E43" s="212"/>
      <c r="F43" s="212"/>
      <c r="L43" s="238"/>
      <c r="P43">
        <v>3</v>
      </c>
      <c r="Q43" t="s">
        <v>229</v>
      </c>
      <c r="R43"/>
      <c r="S43"/>
      <c r="T43"/>
      <c r="U43"/>
      <c r="AR43">
        <v>3</v>
      </c>
      <c r="AS43" t="s">
        <v>229</v>
      </c>
      <c r="AT43">
        <v>24.2</v>
      </c>
      <c r="AU43">
        <v>11</v>
      </c>
      <c r="AV43">
        <v>25.73</v>
      </c>
      <c r="AW43">
        <v>20.059999999999999</v>
      </c>
    </row>
    <row r="44" spans="5:53">
      <c r="E44" s="212"/>
      <c r="F44" s="212"/>
      <c r="L44" s="238"/>
      <c r="P44">
        <v>3</v>
      </c>
      <c r="Q44" t="s">
        <v>230</v>
      </c>
      <c r="R44"/>
      <c r="S44"/>
      <c r="T44"/>
      <c r="U44"/>
      <c r="AR44">
        <v>3</v>
      </c>
      <c r="AS44" t="s">
        <v>230</v>
      </c>
      <c r="AT44">
        <v>22.3</v>
      </c>
      <c r="AU44">
        <v>10.4</v>
      </c>
      <c r="AV44">
        <v>65.12</v>
      </c>
      <c r="AW44">
        <v>15.37</v>
      </c>
    </row>
    <row r="45" spans="5:53">
      <c r="L45" s="238"/>
      <c r="P45">
        <v>3</v>
      </c>
      <c r="Q45" t="s">
        <v>231</v>
      </c>
      <c r="R45"/>
      <c r="S45"/>
      <c r="T45"/>
      <c r="U45"/>
      <c r="AR45">
        <v>3</v>
      </c>
      <c r="AS45" t="s">
        <v>231</v>
      </c>
      <c r="AT45">
        <v>16.8</v>
      </c>
      <c r="AU45">
        <v>7.5</v>
      </c>
      <c r="AV45">
        <v>188.92</v>
      </c>
      <c r="AW45">
        <v>9.06</v>
      </c>
    </row>
    <row r="46" spans="5:53">
      <c r="L46" s="238"/>
      <c r="P46">
        <v>3</v>
      </c>
      <c r="Q46" t="s">
        <v>232</v>
      </c>
      <c r="R46"/>
      <c r="S46"/>
      <c r="T46"/>
      <c r="U46"/>
      <c r="AR46">
        <v>3</v>
      </c>
      <c r="AS46" t="s">
        <v>232</v>
      </c>
      <c r="AT46">
        <v>11.1</v>
      </c>
      <c r="AU46">
        <v>4.5999999999999996</v>
      </c>
      <c r="AV46">
        <v>316.45</v>
      </c>
      <c r="AW46">
        <v>4.9800000000000004</v>
      </c>
    </row>
    <row r="47" spans="5:53">
      <c r="L47" s="240"/>
      <c r="P47">
        <v>3</v>
      </c>
      <c r="Q47" t="s">
        <v>233</v>
      </c>
      <c r="R47"/>
      <c r="S47"/>
      <c r="T47"/>
      <c r="U47"/>
      <c r="AR47">
        <v>3</v>
      </c>
      <c r="AS47" t="s">
        <v>233</v>
      </c>
      <c r="AT47">
        <v>8.1</v>
      </c>
      <c r="AU47">
        <v>2.6</v>
      </c>
      <c r="AV47">
        <v>386.04</v>
      </c>
      <c r="AW47">
        <v>3.53</v>
      </c>
    </row>
    <row r="48" spans="5:53">
      <c r="L48" s="238"/>
      <c r="P48"/>
      <c r="Q48"/>
      <c r="R48"/>
      <c r="S48"/>
      <c r="T48"/>
      <c r="U48"/>
      <c r="V48"/>
      <c r="W48"/>
      <c r="AR48"/>
      <c r="AS48"/>
      <c r="AT48"/>
      <c r="AU48"/>
      <c r="AV48"/>
      <c r="AW48"/>
      <c r="AX48"/>
      <c r="AY48"/>
    </row>
    <row r="49" spans="12:51">
      <c r="L49" s="238"/>
      <c r="P49"/>
      <c r="Q49"/>
      <c r="R49"/>
      <c r="S49"/>
      <c r="T49"/>
      <c r="U49"/>
      <c r="V49"/>
      <c r="W49"/>
      <c r="AR49"/>
      <c r="AS49"/>
      <c r="AT49"/>
      <c r="AU49"/>
      <c r="AV49"/>
      <c r="AW49"/>
      <c r="AX49"/>
      <c r="AY49"/>
    </row>
    <row r="50" spans="12:51">
      <c r="L50" s="238"/>
      <c r="P50"/>
      <c r="AR50"/>
    </row>
    <row r="51" spans="12:51">
      <c r="L51" s="238"/>
      <c r="P51"/>
      <c r="AR51"/>
    </row>
    <row r="52" spans="12:51">
      <c r="L52" s="238"/>
      <c r="P52"/>
      <c r="AR52"/>
    </row>
    <row r="53" spans="12:51">
      <c r="L53" s="238"/>
      <c r="P53"/>
      <c r="AR53"/>
    </row>
    <row r="54" spans="12:51">
      <c r="L54" s="238"/>
      <c r="P54"/>
      <c r="AR54"/>
    </row>
    <row r="55" spans="12:51">
      <c r="L55" s="238"/>
      <c r="P55"/>
      <c r="AR55"/>
    </row>
    <row r="56" spans="12:51">
      <c r="L56" s="238"/>
      <c r="P56"/>
      <c r="AR56"/>
    </row>
    <row r="57" spans="12:51">
      <c r="L57" s="238"/>
      <c r="P57"/>
      <c r="AR57"/>
    </row>
    <row r="58" spans="12:51">
      <c r="L58" s="238"/>
      <c r="P58"/>
      <c r="AR58"/>
    </row>
    <row r="59" spans="12:51">
      <c r="L59" s="238"/>
      <c r="P59"/>
      <c r="AR59"/>
    </row>
    <row r="60" spans="12:51">
      <c r="L60" s="238"/>
      <c r="P60"/>
      <c r="AR60"/>
    </row>
    <row r="61" spans="12:51">
      <c r="L61" s="238"/>
      <c r="P61"/>
      <c r="AR61"/>
    </row>
    <row r="62" spans="12:51">
      <c r="L62" s="238"/>
      <c r="P62"/>
      <c r="Q62"/>
      <c r="R62"/>
      <c r="S62"/>
      <c r="T62"/>
      <c r="U62"/>
      <c r="AR62"/>
      <c r="AS62"/>
      <c r="AT62"/>
      <c r="AU62"/>
      <c r="AV62"/>
      <c r="AW62"/>
    </row>
    <row r="63" spans="12:51">
      <c r="L63" s="238"/>
      <c r="P63"/>
      <c r="Q63"/>
      <c r="R63"/>
      <c r="S63"/>
      <c r="T63"/>
      <c r="U63"/>
      <c r="AR63"/>
      <c r="AS63"/>
      <c r="AT63"/>
      <c r="AU63"/>
      <c r="AV63"/>
      <c r="AW63"/>
    </row>
    <row r="64" spans="12:51">
      <c r="L64" s="238"/>
      <c r="P64"/>
      <c r="Q64"/>
      <c r="R64"/>
      <c r="S64"/>
      <c r="T64"/>
      <c r="U64"/>
      <c r="AR64"/>
      <c r="AS64"/>
      <c r="AT64"/>
      <c r="AU64"/>
      <c r="AV64"/>
      <c r="AW64"/>
    </row>
    <row r="65" spans="12:49">
      <c r="L65" s="238"/>
      <c r="P65"/>
      <c r="Q65"/>
      <c r="R65"/>
      <c r="S65"/>
      <c r="T65"/>
      <c r="U65"/>
      <c r="AR65"/>
      <c r="AS65"/>
      <c r="AT65"/>
      <c r="AU65"/>
      <c r="AV65"/>
      <c r="AW65"/>
    </row>
    <row r="66" spans="12:49">
      <c r="L66" s="238"/>
      <c r="P66"/>
      <c r="Q66"/>
      <c r="R66"/>
      <c r="S66"/>
      <c r="T66"/>
      <c r="U66"/>
      <c r="AR66"/>
      <c r="AS66"/>
      <c r="AT66"/>
      <c r="AU66"/>
      <c r="AV66"/>
      <c r="AW66"/>
    </row>
    <row r="67" spans="12:49">
      <c r="L67" s="238"/>
      <c r="P67"/>
      <c r="Q67"/>
      <c r="R67"/>
      <c r="S67"/>
      <c r="T67"/>
      <c r="U67"/>
      <c r="AR67"/>
      <c r="AS67"/>
      <c r="AT67"/>
      <c r="AU67"/>
      <c r="AV67"/>
      <c r="AW67"/>
    </row>
    <row r="68" spans="12:49">
      <c r="L68" s="238"/>
      <c r="P68"/>
      <c r="Q68"/>
      <c r="R68"/>
      <c r="S68"/>
      <c r="T68"/>
      <c r="U68"/>
      <c r="AR68"/>
      <c r="AS68"/>
      <c r="AT68"/>
      <c r="AU68"/>
      <c r="AV68"/>
      <c r="AW68"/>
    </row>
    <row r="69" spans="12:49">
      <c r="L69" s="238"/>
      <c r="P69"/>
      <c r="Q69"/>
      <c r="R69"/>
      <c r="S69"/>
      <c r="T69"/>
      <c r="U69"/>
      <c r="AR69"/>
      <c r="AS69"/>
      <c r="AT69"/>
      <c r="AU69"/>
      <c r="AV69"/>
      <c r="AW69"/>
    </row>
    <row r="70" spans="12:49">
      <c r="L70" s="238"/>
      <c r="P70"/>
      <c r="Q70"/>
      <c r="R70"/>
      <c r="S70"/>
      <c r="T70"/>
      <c r="U70"/>
      <c r="AR70"/>
      <c r="AS70"/>
      <c r="AT70"/>
      <c r="AU70"/>
      <c r="AV70"/>
      <c r="AW70"/>
    </row>
    <row r="71" spans="12:49">
      <c r="L71" s="238"/>
      <c r="P71"/>
      <c r="Q71"/>
      <c r="R71"/>
      <c r="S71"/>
      <c r="T71"/>
      <c r="U71"/>
      <c r="AR71"/>
      <c r="AS71"/>
      <c r="AT71"/>
      <c r="AU71"/>
      <c r="AV71"/>
      <c r="AW71"/>
    </row>
    <row r="72" spans="12:49">
      <c r="L72" s="238"/>
      <c r="P72"/>
      <c r="Q72"/>
      <c r="R72"/>
      <c r="S72"/>
      <c r="T72"/>
      <c r="U72"/>
      <c r="AR72"/>
      <c r="AS72"/>
      <c r="AT72"/>
      <c r="AU72"/>
      <c r="AV72"/>
      <c r="AW72"/>
    </row>
    <row r="73" spans="12:49">
      <c r="L73" s="238"/>
      <c r="P73"/>
      <c r="Q73"/>
      <c r="R73"/>
      <c r="S73"/>
      <c r="T73"/>
      <c r="U73"/>
      <c r="AR73"/>
      <c r="AS73"/>
      <c r="AT73"/>
      <c r="AU73"/>
      <c r="AV73"/>
      <c r="AW73"/>
    </row>
    <row r="74" spans="12:49">
      <c r="L74" s="238"/>
      <c r="P74"/>
      <c r="Q74"/>
      <c r="R74"/>
      <c r="S74"/>
      <c r="T74"/>
      <c r="U74"/>
      <c r="AR74"/>
      <c r="AS74"/>
      <c r="AT74"/>
      <c r="AU74"/>
      <c r="AV74"/>
      <c r="AW74"/>
    </row>
    <row r="75" spans="12:49">
      <c r="L75" s="238"/>
      <c r="P75"/>
      <c r="Q75"/>
      <c r="R75"/>
      <c r="S75"/>
      <c r="T75"/>
      <c r="U75"/>
      <c r="AR75"/>
      <c r="AS75"/>
      <c r="AT75"/>
      <c r="AU75"/>
      <c r="AV75"/>
      <c r="AW75"/>
    </row>
    <row r="76" spans="12:49">
      <c r="L76" s="238"/>
      <c r="P76"/>
      <c r="Q76"/>
      <c r="R76"/>
      <c r="S76"/>
      <c r="T76"/>
      <c r="U76"/>
      <c r="AR76"/>
      <c r="AS76"/>
      <c r="AT76"/>
      <c r="AU76"/>
      <c r="AV76"/>
      <c r="AW76"/>
    </row>
    <row r="77" spans="12:49">
      <c r="L77" s="238"/>
      <c r="P77"/>
      <c r="Q77"/>
      <c r="R77"/>
      <c r="S77"/>
      <c r="T77"/>
      <c r="U77"/>
      <c r="AR77"/>
      <c r="AS77"/>
      <c r="AT77"/>
      <c r="AU77"/>
      <c r="AV77"/>
      <c r="AW77"/>
    </row>
    <row r="78" spans="12:49">
      <c r="L78" s="238"/>
      <c r="P78"/>
      <c r="Q78"/>
      <c r="R78"/>
      <c r="S78"/>
      <c r="T78"/>
      <c r="U78"/>
      <c r="AR78"/>
      <c r="AS78"/>
      <c r="AT78"/>
      <c r="AU78"/>
      <c r="AV78"/>
      <c r="AW78"/>
    </row>
    <row r="79" spans="12:49">
      <c r="L79" s="238"/>
      <c r="P79"/>
      <c r="Q79"/>
      <c r="R79"/>
      <c r="S79"/>
      <c r="T79"/>
      <c r="U79"/>
      <c r="AR79"/>
      <c r="AS79"/>
      <c r="AT79"/>
      <c r="AU79"/>
      <c r="AV79"/>
      <c r="AW79"/>
    </row>
    <row r="80" spans="12:49">
      <c r="L80" s="238"/>
      <c r="P80"/>
      <c r="Q80"/>
      <c r="R80"/>
      <c r="S80"/>
      <c r="T80"/>
      <c r="U80"/>
      <c r="AR80"/>
      <c r="AS80"/>
      <c r="AT80"/>
      <c r="AU80"/>
      <c r="AV80"/>
      <c r="AW80"/>
    </row>
    <row r="81" spans="12:49">
      <c r="L81" s="238"/>
      <c r="P81"/>
      <c r="Q81"/>
      <c r="R81"/>
      <c r="S81"/>
      <c r="T81"/>
      <c r="U81"/>
      <c r="AR81"/>
      <c r="AS81"/>
      <c r="AT81"/>
      <c r="AU81"/>
      <c r="AV81"/>
      <c r="AW81"/>
    </row>
    <row r="82" spans="12:49">
      <c r="L82" s="238"/>
      <c r="P82"/>
      <c r="Q82"/>
      <c r="R82"/>
      <c r="S82"/>
      <c r="T82"/>
      <c r="U82"/>
      <c r="AR82"/>
      <c r="AS82"/>
      <c r="AT82"/>
      <c r="AU82"/>
      <c r="AV82"/>
      <c r="AW82"/>
    </row>
    <row r="83" spans="12:49">
      <c r="L83" s="238"/>
      <c r="P83"/>
      <c r="Q83"/>
      <c r="R83"/>
      <c r="S83"/>
      <c r="T83"/>
      <c r="U83"/>
      <c r="AR83"/>
      <c r="AS83"/>
      <c r="AT83"/>
      <c r="AU83"/>
      <c r="AV83"/>
      <c r="AW83"/>
    </row>
    <row r="84" spans="12:49">
      <c r="L84" s="238"/>
      <c r="P84"/>
      <c r="Q84"/>
      <c r="R84"/>
      <c r="S84"/>
      <c r="T84"/>
      <c r="U84"/>
      <c r="AR84"/>
      <c r="AS84"/>
      <c r="AT84"/>
      <c r="AU84"/>
      <c r="AV84"/>
      <c r="AW84"/>
    </row>
    <row r="85" spans="12:49">
      <c r="L85" s="238"/>
      <c r="P85"/>
      <c r="Q85"/>
      <c r="R85"/>
      <c r="S85"/>
      <c r="T85"/>
      <c r="U85"/>
      <c r="AR85"/>
      <c r="AS85"/>
      <c r="AT85"/>
      <c r="AU85"/>
      <c r="AV85"/>
      <c r="AW85"/>
    </row>
    <row r="86" spans="12:49">
      <c r="L86" s="238"/>
      <c r="P86"/>
      <c r="Q86"/>
      <c r="R86"/>
      <c r="S86"/>
      <c r="T86"/>
      <c r="U86"/>
      <c r="AR86"/>
      <c r="AS86"/>
      <c r="AT86"/>
      <c r="AU86"/>
      <c r="AV86"/>
      <c r="AW86"/>
    </row>
    <row r="87" spans="12:49">
      <c r="L87" s="238"/>
      <c r="P87"/>
      <c r="Q87"/>
      <c r="R87"/>
      <c r="S87"/>
      <c r="T87"/>
      <c r="U87"/>
      <c r="AR87"/>
      <c r="AS87"/>
      <c r="AT87"/>
      <c r="AU87"/>
      <c r="AV87"/>
      <c r="AW87"/>
    </row>
    <row r="88" spans="12:49">
      <c r="L88" s="238"/>
      <c r="P88"/>
      <c r="Q88"/>
      <c r="R88"/>
      <c r="S88"/>
      <c r="T88"/>
      <c r="U88"/>
      <c r="AR88"/>
      <c r="AS88"/>
      <c r="AT88"/>
      <c r="AU88"/>
      <c r="AV88"/>
      <c r="AW88"/>
    </row>
    <row r="89" spans="12:49">
      <c r="L89" s="238"/>
      <c r="P89"/>
      <c r="Q89"/>
      <c r="R89"/>
      <c r="S89"/>
      <c r="T89"/>
      <c r="U89"/>
      <c r="AR89"/>
      <c r="AS89"/>
      <c r="AT89"/>
      <c r="AU89"/>
      <c r="AV89"/>
      <c r="AW89"/>
    </row>
    <row r="90" spans="12:49">
      <c r="L90" s="238"/>
      <c r="P90"/>
      <c r="Q90"/>
      <c r="R90"/>
      <c r="S90"/>
      <c r="T90"/>
      <c r="U90"/>
      <c r="AR90"/>
      <c r="AS90"/>
      <c r="AT90"/>
      <c r="AU90"/>
      <c r="AV90"/>
      <c r="AW90"/>
    </row>
    <row r="91" spans="12:49">
      <c r="L91" s="238"/>
      <c r="P91"/>
      <c r="Q91"/>
      <c r="R91"/>
      <c r="S91"/>
      <c r="T91"/>
      <c r="U91"/>
      <c r="AR91"/>
      <c r="AS91"/>
      <c r="AT91"/>
      <c r="AU91"/>
      <c r="AV91"/>
      <c r="AW91"/>
    </row>
    <row r="92" spans="12:49">
      <c r="L92" s="238"/>
      <c r="P92"/>
      <c r="Q92"/>
      <c r="R92"/>
      <c r="S92"/>
      <c r="T92"/>
      <c r="U92"/>
      <c r="AR92"/>
      <c r="AS92"/>
      <c r="AT92"/>
      <c r="AU92"/>
      <c r="AV92"/>
      <c r="AW92"/>
    </row>
    <row r="93" spans="12:49">
      <c r="L93" s="238"/>
      <c r="P93"/>
      <c r="Q93"/>
      <c r="R93"/>
      <c r="S93"/>
      <c r="T93"/>
      <c r="U93"/>
      <c r="AR93"/>
      <c r="AS93"/>
      <c r="AT93"/>
      <c r="AU93"/>
      <c r="AV93"/>
      <c r="AW93"/>
    </row>
    <row r="94" spans="12:49">
      <c r="L94" s="238"/>
      <c r="P94"/>
      <c r="Q94"/>
      <c r="R94"/>
      <c r="S94"/>
      <c r="T94"/>
      <c r="U94"/>
      <c r="AR94"/>
      <c r="AS94"/>
      <c r="AT94"/>
      <c r="AU94"/>
      <c r="AV94"/>
      <c r="AW94"/>
    </row>
    <row r="95" spans="12:49">
      <c r="L95" s="238"/>
    </row>
    <row r="96" spans="12:49">
      <c r="L96" s="238"/>
    </row>
    <row r="97" spans="12:12">
      <c r="L97" s="238"/>
    </row>
    <row r="98" spans="12:12">
      <c r="L98" s="238"/>
    </row>
    <row r="99" spans="12:12">
      <c r="L99" s="238"/>
    </row>
    <row r="100" spans="12:12">
      <c r="L100" s="238"/>
    </row>
    <row r="101" spans="12:12">
      <c r="L101" s="238"/>
    </row>
    <row r="102" spans="12:12">
      <c r="L102" s="238"/>
    </row>
    <row r="103" spans="12:12">
      <c r="L103" s="238"/>
    </row>
    <row r="104" spans="12:12">
      <c r="L104" s="238"/>
    </row>
    <row r="105" spans="12:12">
      <c r="L105" s="238"/>
    </row>
    <row r="106" spans="12:12">
      <c r="L106" s="238"/>
    </row>
    <row r="107" spans="12:12">
      <c r="L107" s="238"/>
    </row>
    <row r="108" spans="12:12">
      <c r="L108" s="238"/>
    </row>
    <row r="109" spans="12:12">
      <c r="L109" s="238"/>
    </row>
    <row r="110" spans="12:12">
      <c r="L110" s="238"/>
    </row>
    <row r="111" spans="12:12">
      <c r="L111" s="238"/>
    </row>
    <row r="112" spans="12:12">
      <c r="L112" s="238"/>
    </row>
    <row r="113" spans="12:12">
      <c r="L113" s="238"/>
    </row>
    <row r="114" spans="12:12">
      <c r="L114" s="238"/>
    </row>
    <row r="115" spans="12:12">
      <c r="L115" s="238"/>
    </row>
    <row r="116" spans="12:12">
      <c r="L116" s="238"/>
    </row>
    <row r="117" spans="12:12">
      <c r="L117" s="238"/>
    </row>
    <row r="118" spans="12:12">
      <c r="L118" s="238"/>
    </row>
    <row r="119" spans="12:12">
      <c r="L119" s="238"/>
    </row>
    <row r="120" spans="12:12">
      <c r="L120" s="238"/>
    </row>
    <row r="121" spans="12:12">
      <c r="L121" s="238"/>
    </row>
    <row r="122" spans="12:12">
      <c r="L122" s="238"/>
    </row>
    <row r="123" spans="12:12">
      <c r="L123" s="238"/>
    </row>
    <row r="124" spans="12:12">
      <c r="L124" s="238"/>
    </row>
    <row r="125" spans="12:12">
      <c r="L125" s="238"/>
    </row>
    <row r="126" spans="12:12">
      <c r="L126" s="238"/>
    </row>
    <row r="127" spans="12:12">
      <c r="L127" s="238"/>
    </row>
    <row r="128" spans="12:12">
      <c r="L128" s="238"/>
    </row>
    <row r="129" spans="12:53">
      <c r="L129" s="238"/>
    </row>
    <row r="130" spans="12:53">
      <c r="L130" s="238"/>
    </row>
    <row r="131" spans="12:53">
      <c r="L131" s="238"/>
    </row>
    <row r="132" spans="12:53">
      <c r="L132" s="238"/>
    </row>
    <row r="133" spans="12:53">
      <c r="L133" s="238"/>
    </row>
    <row r="134" spans="12:53">
      <c r="L134" s="238"/>
    </row>
    <row r="135" spans="12:53">
      <c r="L135" s="238"/>
    </row>
    <row r="136" spans="12:53">
      <c r="L136" s="238"/>
    </row>
    <row r="137" spans="12:53">
      <c r="L137" s="238"/>
    </row>
    <row r="138" spans="12:53">
      <c r="L138" s="238"/>
    </row>
    <row r="139" spans="12:53">
      <c r="L139" s="238"/>
      <c r="Q139" s="117"/>
      <c r="R139" s="117"/>
      <c r="Y139" s="117"/>
      <c r="Z139" s="117"/>
      <c r="AA139" s="117"/>
      <c r="AS139" s="117"/>
      <c r="AT139" s="117"/>
      <c r="BA139" s="117"/>
    </row>
    <row r="140" spans="12:53">
      <c r="L140" s="238"/>
      <c r="Q140" s="117"/>
      <c r="R140" s="117"/>
      <c r="Y140" s="117"/>
      <c r="Z140" s="117"/>
      <c r="AA140" s="117"/>
      <c r="AS140" s="117"/>
      <c r="AT140" s="117"/>
      <c r="BA140" s="117"/>
    </row>
    <row r="141" spans="12:53">
      <c r="L141" s="238"/>
      <c r="Q141" s="117"/>
      <c r="R141" s="117"/>
      <c r="Y141" s="117"/>
      <c r="Z141" s="117"/>
      <c r="AA141" s="117"/>
      <c r="AS141" s="117"/>
      <c r="AT141" s="117"/>
      <c r="BA141" s="117"/>
    </row>
    <row r="142" spans="12:53">
      <c r="L142" s="238"/>
      <c r="Q142" s="117"/>
      <c r="R142" s="117"/>
      <c r="Y142" s="117"/>
      <c r="Z142" s="117"/>
      <c r="AA142" s="117"/>
      <c r="AS142" s="117"/>
      <c r="AT142" s="117"/>
      <c r="BA142" s="117"/>
    </row>
    <row r="143" spans="12:53">
      <c r="L143" s="238"/>
      <c r="Q143" s="117"/>
      <c r="R143" s="117"/>
      <c r="Y143" s="117"/>
      <c r="Z143" s="117"/>
      <c r="AA143" s="117"/>
      <c r="AS143" s="117"/>
      <c r="AT143" s="117"/>
      <c r="BA143" s="117"/>
    </row>
    <row r="144" spans="12:53">
      <c r="L144" s="238"/>
      <c r="Q144" s="117"/>
      <c r="R144" s="117"/>
      <c r="Y144" s="117"/>
      <c r="Z144" s="117"/>
      <c r="AA144" s="117"/>
      <c r="AS144" s="117"/>
      <c r="AT144" s="117"/>
      <c r="BA144" s="117"/>
    </row>
    <row r="145" spans="12:53">
      <c r="L145" s="238"/>
      <c r="Q145" s="117"/>
      <c r="R145" s="117"/>
      <c r="Y145" s="117"/>
      <c r="Z145" s="117"/>
      <c r="AA145" s="117"/>
      <c r="AS145" s="117"/>
      <c r="AT145" s="117"/>
      <c r="BA145" s="117"/>
    </row>
    <row r="146" spans="12:53">
      <c r="L146" s="238"/>
      <c r="Q146" s="117"/>
      <c r="R146" s="117"/>
      <c r="Y146" s="117"/>
      <c r="Z146" s="117"/>
      <c r="AS146" s="117"/>
      <c r="AT146" s="117"/>
      <c r="BA146" s="117"/>
    </row>
    <row r="147" spans="12:53">
      <c r="L147" s="238"/>
    </row>
    <row r="148" spans="12:53">
      <c r="L148" s="238"/>
    </row>
    <row r="149" spans="12:53">
      <c r="L149" s="238"/>
    </row>
    <row r="150" spans="12:53">
      <c r="L150" s="238"/>
    </row>
    <row r="151" spans="12:53">
      <c r="L151" s="238"/>
    </row>
    <row r="152" spans="12:53">
      <c r="L152" s="238"/>
    </row>
    <row r="153" spans="12:53">
      <c r="L153" s="238"/>
    </row>
    <row r="154" spans="12:53">
      <c r="L154" s="238"/>
    </row>
    <row r="155" spans="12:53">
      <c r="L155" s="238"/>
    </row>
    <row r="156" spans="12:53">
      <c r="L156" s="238"/>
    </row>
    <row r="157" spans="12:53">
      <c r="L157" s="238"/>
    </row>
    <row r="158" spans="12:53">
      <c r="L158" s="238"/>
    </row>
    <row r="159" spans="12:53">
      <c r="L159" s="238"/>
    </row>
    <row r="160" spans="12:53">
      <c r="L160" s="238"/>
    </row>
    <row r="161" spans="12:12">
      <c r="L161" s="238"/>
    </row>
    <row r="162" spans="12:12">
      <c r="L162" s="238"/>
    </row>
    <row r="163" spans="12:12">
      <c r="L163" s="238"/>
    </row>
    <row r="164" spans="12:12">
      <c r="L164" s="238"/>
    </row>
    <row r="165" spans="12:12">
      <c r="L165" s="238"/>
    </row>
    <row r="166" spans="12:12">
      <c r="L166" s="238"/>
    </row>
    <row r="167" spans="12:12">
      <c r="L167" s="238"/>
    </row>
    <row r="168" spans="12:12">
      <c r="L168" s="238"/>
    </row>
    <row r="169" spans="12:12">
      <c r="L169" s="238"/>
    </row>
    <row r="170" spans="12:12">
      <c r="L170" s="238"/>
    </row>
    <row r="171" spans="12:12">
      <c r="L171" s="238"/>
    </row>
    <row r="172" spans="12:12">
      <c r="L172" s="238"/>
    </row>
    <row r="173" spans="12:12">
      <c r="L173" s="238"/>
    </row>
    <row r="174" spans="12:12">
      <c r="L174" s="238"/>
    </row>
    <row r="175" spans="12:12">
      <c r="L175" s="238"/>
    </row>
    <row r="176" spans="12:12">
      <c r="L176" s="238"/>
    </row>
    <row r="177" spans="12:48">
      <c r="L177" s="238"/>
    </row>
    <row r="178" spans="12:48">
      <c r="L178" s="238"/>
    </row>
    <row r="179" spans="12:48">
      <c r="L179" s="238"/>
    </row>
    <row r="180" spans="12:48">
      <c r="L180" s="238"/>
    </row>
    <row r="181" spans="12:48">
      <c r="L181" s="238"/>
    </row>
    <row r="182" spans="12:48">
      <c r="L182" s="238"/>
    </row>
    <row r="183" spans="12:48">
      <c r="L183" s="238"/>
    </row>
    <row r="184" spans="12:48">
      <c r="L184" s="238"/>
    </row>
    <row r="185" spans="12:48">
      <c r="L185" s="238"/>
    </row>
    <row r="186" spans="12:48">
      <c r="L186" s="238"/>
    </row>
    <row r="187" spans="12:48">
      <c r="L187" s="237"/>
      <c r="T187" s="237"/>
      <c r="AV187" s="237"/>
    </row>
    <row r="188" spans="12:48">
      <c r="L188" s="237"/>
      <c r="T188" s="237"/>
      <c r="AV188" s="237"/>
    </row>
    <row r="189" spans="12:48">
      <c r="L189" s="237"/>
      <c r="T189" s="237"/>
      <c r="AV189" s="237"/>
    </row>
    <row r="190" spans="12:48">
      <c r="L190" s="237"/>
      <c r="T190" s="237"/>
      <c r="AV190" s="237"/>
    </row>
    <row r="191" spans="12:48">
      <c r="L191" s="237"/>
      <c r="T191" s="237"/>
      <c r="AV191" s="237"/>
    </row>
    <row r="192" spans="12:48">
      <c r="L192" s="237"/>
      <c r="T192" s="237"/>
      <c r="AV192" s="237"/>
    </row>
    <row r="193" spans="12:48">
      <c r="L193" s="237"/>
      <c r="T193" s="237"/>
      <c r="AV193" s="237"/>
    </row>
    <row r="194" spans="12:48">
      <c r="L194" s="237"/>
      <c r="T194" s="237"/>
      <c r="AV194" s="237"/>
    </row>
    <row r="195" spans="12:48">
      <c r="L195" s="237"/>
      <c r="T195" s="237"/>
      <c r="AV195" s="237"/>
    </row>
    <row r="196" spans="12:48">
      <c r="L196" s="237"/>
      <c r="T196" s="237"/>
      <c r="AV196" s="237"/>
    </row>
    <row r="197" spans="12:48">
      <c r="L197" s="237"/>
      <c r="T197" s="237"/>
      <c r="AV197" s="237"/>
    </row>
    <row r="198" spans="12:48">
      <c r="L198" s="237"/>
      <c r="T198" s="237"/>
      <c r="AV198" s="237"/>
    </row>
    <row r="199" spans="12:48">
      <c r="L199" s="237"/>
      <c r="T199" s="237"/>
      <c r="AV199" s="237"/>
    </row>
    <row r="200" spans="12:48">
      <c r="L200" s="237"/>
      <c r="T200" s="237"/>
      <c r="AV200" s="237"/>
    </row>
    <row r="201" spans="12:48">
      <c r="L201" s="237"/>
      <c r="T201" s="237"/>
      <c r="AV201" s="237"/>
    </row>
    <row r="202" spans="12:48">
      <c r="L202" s="237"/>
      <c r="T202" s="237"/>
      <c r="AV202" s="237"/>
    </row>
    <row r="203" spans="12:48">
      <c r="L203" s="237"/>
      <c r="T203" s="237"/>
      <c r="AV203" s="237"/>
    </row>
    <row r="204" spans="12:48">
      <c r="T204" s="237"/>
      <c r="AV204" s="237"/>
    </row>
    <row r="205" spans="12:48">
      <c r="T205" s="237"/>
      <c r="AV205" s="237"/>
    </row>
    <row r="206" spans="12:48">
      <c r="T206" s="237"/>
      <c r="AV206" s="237"/>
    </row>
    <row r="207" spans="12:48">
      <c r="T207" s="237"/>
      <c r="AV207" s="237"/>
    </row>
    <row r="208" spans="12:48">
      <c r="T208" s="237"/>
      <c r="AV208" s="237"/>
    </row>
    <row r="209" spans="20:48">
      <c r="T209" s="237"/>
      <c r="AV209" s="237"/>
    </row>
    <row r="210" spans="20:48">
      <c r="T210" s="237"/>
      <c r="AV210" s="237"/>
    </row>
    <row r="211" spans="20:48">
      <c r="T211" s="237"/>
      <c r="AV211" s="237"/>
    </row>
    <row r="212" spans="20:48">
      <c r="T212" s="237"/>
      <c r="AV212" s="237"/>
    </row>
    <row r="213" spans="20:48">
      <c r="T213" s="237"/>
      <c r="AV213" s="237"/>
    </row>
    <row r="214" spans="20:48">
      <c r="T214" s="237"/>
      <c r="AV214" s="237"/>
    </row>
    <row r="215" spans="20:48">
      <c r="T215" s="237"/>
      <c r="AV215" s="237"/>
    </row>
    <row r="216" spans="20:48">
      <c r="T216" s="237"/>
      <c r="AV216" s="237"/>
    </row>
    <row r="217" spans="20:48">
      <c r="T217" s="237"/>
      <c r="AV217" s="237"/>
    </row>
    <row r="218" spans="20:48">
      <c r="T218" s="237"/>
      <c r="AV218" s="237"/>
    </row>
    <row r="219" spans="20:48">
      <c r="T219" s="237"/>
      <c r="AV219" s="237"/>
    </row>
    <row r="220" spans="20:48">
      <c r="T220" s="237"/>
      <c r="AV220" s="237"/>
    </row>
    <row r="221" spans="20:48">
      <c r="T221" s="237"/>
      <c r="AV221" s="237"/>
    </row>
    <row r="222" spans="20:48">
      <c r="T222" s="237"/>
      <c r="AV222" s="237"/>
    </row>
    <row r="223" spans="20:48">
      <c r="T223" s="237"/>
      <c r="AV223" s="237"/>
    </row>
    <row r="224" spans="20:48">
      <c r="T224" s="237"/>
      <c r="AV224" s="237"/>
    </row>
    <row r="225" spans="20:48">
      <c r="T225" s="237"/>
      <c r="AV225" s="237"/>
    </row>
    <row r="226" spans="20:48">
      <c r="T226" s="237"/>
      <c r="AV226" s="237"/>
    </row>
    <row r="227" spans="20:48">
      <c r="T227" s="237"/>
      <c r="AV227" s="237"/>
    </row>
    <row r="228" spans="20:48">
      <c r="T228" s="237"/>
      <c r="AV228" s="237"/>
    </row>
    <row r="229" spans="20:48">
      <c r="T229" s="237"/>
      <c r="AV229" s="237"/>
    </row>
    <row r="230" spans="20:48">
      <c r="T230" s="237"/>
      <c r="AV230" s="237"/>
    </row>
    <row r="231" spans="20:48">
      <c r="T231" s="237"/>
      <c r="AV231" s="237"/>
    </row>
    <row r="232" spans="20:48">
      <c r="T232" s="237"/>
      <c r="AV232" s="237"/>
    </row>
    <row r="233" spans="20:48">
      <c r="T233" s="237"/>
      <c r="AV233" s="237"/>
    </row>
    <row r="234" spans="20:48">
      <c r="T234" s="237"/>
      <c r="AV234" s="237"/>
    </row>
    <row r="235" spans="20:48">
      <c r="T235" s="237"/>
      <c r="AV235" s="237"/>
    </row>
    <row r="236" spans="20:48">
      <c r="T236" s="237"/>
      <c r="AV236" s="237"/>
    </row>
    <row r="237" spans="20:48">
      <c r="T237" s="237"/>
      <c r="AV237" s="237"/>
    </row>
    <row r="238" spans="20:48">
      <c r="T238" s="237"/>
      <c r="AV238" s="237"/>
    </row>
    <row r="239" spans="20:48">
      <c r="T239" s="237"/>
      <c r="AV239" s="237"/>
    </row>
    <row r="240" spans="20:48">
      <c r="T240" s="237"/>
      <c r="AV240" s="237"/>
    </row>
    <row r="241" spans="20:48">
      <c r="T241" s="237"/>
      <c r="AV241" s="237"/>
    </row>
    <row r="242" spans="20:48">
      <c r="T242" s="237"/>
      <c r="AV242" s="237"/>
    </row>
    <row r="243" spans="20:48">
      <c r="T243" s="237"/>
      <c r="AV243" s="237"/>
    </row>
    <row r="244" spans="20:48">
      <c r="T244" s="237"/>
      <c r="AV244" s="237"/>
    </row>
    <row r="245" spans="20:48">
      <c r="T245" s="237"/>
      <c r="AV245" s="237"/>
    </row>
    <row r="246" spans="20:48">
      <c r="T246" s="237"/>
      <c r="AV246" s="237"/>
    </row>
    <row r="247" spans="20:48">
      <c r="T247" s="237"/>
      <c r="AV247" s="237"/>
    </row>
    <row r="248" spans="20:48">
      <c r="T248" s="237"/>
      <c r="AV248" s="237"/>
    </row>
    <row r="249" spans="20:48">
      <c r="T249" s="237"/>
      <c r="AV249" s="237"/>
    </row>
    <row r="250" spans="20:48">
      <c r="T250" s="237"/>
      <c r="AV250" s="237"/>
    </row>
    <row r="251" spans="20:48">
      <c r="T251" s="237"/>
      <c r="AV251" s="237"/>
    </row>
    <row r="252" spans="20:48">
      <c r="T252" s="237"/>
      <c r="AV252" s="237"/>
    </row>
    <row r="253" spans="20:48">
      <c r="T253" s="237"/>
      <c r="AV253" s="237"/>
    </row>
    <row r="254" spans="20:48">
      <c r="T254" s="237"/>
      <c r="AV254" s="237"/>
    </row>
    <row r="255" spans="20:48">
      <c r="T255" s="237"/>
      <c r="AV255" s="237"/>
    </row>
    <row r="256" spans="20:48">
      <c r="T256" s="237"/>
      <c r="AV256" s="237"/>
    </row>
    <row r="257" spans="20:48">
      <c r="T257" s="237"/>
      <c r="AV257" s="237"/>
    </row>
    <row r="258" spans="20:48">
      <c r="T258" s="237"/>
      <c r="AV258" s="237"/>
    </row>
    <row r="259" spans="20:48">
      <c r="T259" s="237"/>
      <c r="AV259" s="237"/>
    </row>
    <row r="260" spans="20:48">
      <c r="T260" s="237"/>
      <c r="AV260" s="237"/>
    </row>
    <row r="261" spans="20:48">
      <c r="T261" s="237"/>
      <c r="AV261" s="237"/>
    </row>
    <row r="262" spans="20:48">
      <c r="T262" s="237"/>
      <c r="AV262" s="237"/>
    </row>
    <row r="263" spans="20:48">
      <c r="T263" s="237"/>
      <c r="AV263" s="237"/>
    </row>
    <row r="264" spans="20:48">
      <c r="T264" s="237"/>
      <c r="AV264" s="237"/>
    </row>
    <row r="265" spans="20:48">
      <c r="T265" s="237"/>
      <c r="AV265" s="237"/>
    </row>
    <row r="266" spans="20:48">
      <c r="T266" s="237"/>
      <c r="AV266" s="237"/>
    </row>
    <row r="267" spans="20:48">
      <c r="T267" s="237"/>
      <c r="AV267" s="237"/>
    </row>
    <row r="268" spans="20:48">
      <c r="T268" s="237"/>
      <c r="AV268" s="237"/>
    </row>
    <row r="269" spans="20:48">
      <c r="T269" s="237"/>
      <c r="AV269" s="237"/>
    </row>
    <row r="270" spans="20:48">
      <c r="T270" s="237"/>
      <c r="AV270" s="237"/>
    </row>
    <row r="271" spans="20:48">
      <c r="T271" s="237"/>
      <c r="AV271" s="237"/>
    </row>
    <row r="272" spans="20:48">
      <c r="T272" s="237"/>
      <c r="AV272" s="237"/>
    </row>
    <row r="273" spans="20:48">
      <c r="T273" s="237"/>
      <c r="AV273" s="237"/>
    </row>
    <row r="274" spans="20:48">
      <c r="T274" s="237"/>
      <c r="AV274" s="237"/>
    </row>
    <row r="275" spans="20:48">
      <c r="T275" s="237"/>
      <c r="AV275" s="237"/>
    </row>
    <row r="276" spans="20:48">
      <c r="T276" s="237"/>
      <c r="AV276" s="237"/>
    </row>
    <row r="277" spans="20:48">
      <c r="T277" s="237"/>
      <c r="AV277" s="237"/>
    </row>
    <row r="278" spans="20:48">
      <c r="T278" s="237"/>
      <c r="AV278" s="237"/>
    </row>
    <row r="279" spans="20:48">
      <c r="T279" s="237"/>
      <c r="AV279" s="237"/>
    </row>
    <row r="280" spans="20:48">
      <c r="T280" s="237"/>
      <c r="AV280" s="237"/>
    </row>
    <row r="281" spans="20:48">
      <c r="T281" s="237"/>
      <c r="AV281" s="237"/>
    </row>
    <row r="282" spans="20:48">
      <c r="T282" s="237"/>
      <c r="AV282" s="237"/>
    </row>
    <row r="283" spans="20:48">
      <c r="T283" s="237"/>
      <c r="AV283" s="237"/>
    </row>
    <row r="284" spans="20:48">
      <c r="T284" s="237"/>
      <c r="AV284" s="237"/>
    </row>
    <row r="285" spans="20:48">
      <c r="T285" s="237"/>
      <c r="AV285" s="237"/>
    </row>
    <row r="286" spans="20:48">
      <c r="T286" s="237"/>
      <c r="AV286" s="237"/>
    </row>
    <row r="287" spans="20:48">
      <c r="T287" s="237"/>
      <c r="AV287" s="237"/>
    </row>
    <row r="288" spans="20:48">
      <c r="T288" s="237"/>
      <c r="AV288" s="237"/>
    </row>
    <row r="289" spans="20:48">
      <c r="T289" s="237"/>
      <c r="AV289" s="237"/>
    </row>
    <row r="290" spans="20:48">
      <c r="T290" s="237"/>
      <c r="AV290" s="237"/>
    </row>
    <row r="291" spans="20:48">
      <c r="T291" s="237"/>
      <c r="AV291" s="237"/>
    </row>
    <row r="292" spans="20:48">
      <c r="T292" s="237"/>
      <c r="AV292" s="237"/>
    </row>
    <row r="293" spans="20:48">
      <c r="T293" s="237"/>
      <c r="AV293" s="237"/>
    </row>
    <row r="294" spans="20:48">
      <c r="T294" s="237"/>
      <c r="AV294" s="237"/>
    </row>
    <row r="295" spans="20:48">
      <c r="T295" s="237"/>
      <c r="AV295" s="237"/>
    </row>
    <row r="296" spans="20:48">
      <c r="T296" s="237"/>
      <c r="AV296" s="237"/>
    </row>
    <row r="297" spans="20:48">
      <c r="T297" s="237"/>
      <c r="AV297" s="237"/>
    </row>
    <row r="298" spans="20:48">
      <c r="T298" s="237"/>
      <c r="AV298" s="237"/>
    </row>
    <row r="299" spans="20:48">
      <c r="T299" s="237"/>
      <c r="AV299" s="237"/>
    </row>
    <row r="300" spans="20:48">
      <c r="T300" s="237"/>
      <c r="AV300" s="237"/>
    </row>
    <row r="301" spans="20:48">
      <c r="T301" s="237"/>
      <c r="AV301" s="237"/>
    </row>
    <row r="302" spans="20:48">
      <c r="T302" s="237"/>
      <c r="AV302" s="237"/>
    </row>
    <row r="303" spans="20:48">
      <c r="T303" s="237"/>
      <c r="AV303" s="237"/>
    </row>
    <row r="304" spans="20:48">
      <c r="T304" s="237"/>
      <c r="AV304" s="237"/>
    </row>
    <row r="305" spans="12:48">
      <c r="T305" s="237"/>
      <c r="AV305" s="237"/>
    </row>
    <row r="306" spans="12:48">
      <c r="T306" s="237"/>
      <c r="AV306" s="237"/>
    </row>
    <row r="307" spans="12:48">
      <c r="T307" s="237"/>
      <c r="AV307" s="237"/>
    </row>
    <row r="308" spans="12:48">
      <c r="L308" s="237"/>
      <c r="T308" s="237"/>
      <c r="AV308" s="237"/>
    </row>
    <row r="309" spans="12:48">
      <c r="L309" s="237"/>
      <c r="T309" s="237"/>
      <c r="AV309" s="237"/>
    </row>
    <row r="310" spans="12:48">
      <c r="L310" s="237"/>
      <c r="T310" s="237"/>
      <c r="AV310" s="237"/>
    </row>
    <row r="311" spans="12:48">
      <c r="L311" s="237"/>
      <c r="T311" s="237"/>
      <c r="AV311" s="237"/>
    </row>
    <row r="312" spans="12:48">
      <c r="L312" s="237"/>
      <c r="T312" s="237"/>
      <c r="AV312" s="237"/>
    </row>
    <row r="313" spans="12:48">
      <c r="L313" s="237"/>
      <c r="T313" s="237"/>
      <c r="AV313" s="237"/>
    </row>
    <row r="314" spans="12:48">
      <c r="L314" s="237"/>
      <c r="T314" s="237"/>
      <c r="AV314" s="237"/>
    </row>
    <row r="315" spans="12:48">
      <c r="L315" s="237"/>
      <c r="T315" s="237"/>
      <c r="AV315" s="237"/>
    </row>
    <row r="316" spans="12:48">
      <c r="L316" s="237"/>
      <c r="T316" s="237"/>
      <c r="AV316" s="237"/>
    </row>
    <row r="317" spans="12:48">
      <c r="L317" s="237"/>
      <c r="T317" s="237"/>
      <c r="AV317" s="237"/>
    </row>
    <row r="318" spans="12:48">
      <c r="L318" s="237"/>
      <c r="T318" s="237"/>
      <c r="AV318" s="237"/>
    </row>
    <row r="319" spans="12:48">
      <c r="L319" s="237"/>
      <c r="T319" s="237"/>
      <c r="AV319" s="237"/>
    </row>
    <row r="320" spans="12:48">
      <c r="L320" s="237"/>
      <c r="T320" s="237"/>
      <c r="AV320" s="237"/>
    </row>
    <row r="321" spans="12:48">
      <c r="L321" s="237"/>
      <c r="T321" s="237"/>
      <c r="AV321" s="237"/>
    </row>
    <row r="322" spans="12:48">
      <c r="L322" s="237"/>
      <c r="T322" s="237"/>
      <c r="AV322" s="237"/>
    </row>
    <row r="323" spans="12:48">
      <c r="L323" s="237"/>
      <c r="T323" s="237"/>
      <c r="AV323" s="237"/>
    </row>
    <row r="324" spans="12:48">
      <c r="L324" s="237"/>
      <c r="T324" s="237"/>
      <c r="AV324" s="237"/>
    </row>
    <row r="325" spans="12:48">
      <c r="L325" s="237"/>
      <c r="T325" s="237"/>
      <c r="AV325" s="237"/>
    </row>
    <row r="326" spans="12:48">
      <c r="L326" s="237"/>
      <c r="T326" s="237"/>
      <c r="AV326" s="237"/>
    </row>
    <row r="327" spans="12:48">
      <c r="L327" s="237"/>
      <c r="T327" s="237"/>
      <c r="AV327" s="237"/>
    </row>
    <row r="328" spans="12:48">
      <c r="L328" s="237"/>
      <c r="T328" s="237"/>
      <c r="AV328" s="237"/>
    </row>
    <row r="329" spans="12:48">
      <c r="L329" s="237"/>
      <c r="T329" s="237"/>
      <c r="AV329" s="237"/>
    </row>
    <row r="330" spans="12:48">
      <c r="L330" s="237"/>
      <c r="T330" s="237"/>
      <c r="AV330" s="237"/>
    </row>
    <row r="331" spans="12:48">
      <c r="L331" s="237"/>
      <c r="T331" s="237"/>
      <c r="AV331" s="237"/>
    </row>
    <row r="332" spans="12:48">
      <c r="L332" s="237"/>
      <c r="T332" s="237"/>
      <c r="AV332" s="237"/>
    </row>
    <row r="333" spans="12:48">
      <c r="L333" s="237"/>
      <c r="T333" s="237"/>
      <c r="AV333" s="237"/>
    </row>
    <row r="334" spans="12:48">
      <c r="L334" s="237"/>
      <c r="T334" s="237"/>
      <c r="AV334" s="237"/>
    </row>
    <row r="335" spans="12:48">
      <c r="L335" s="237"/>
      <c r="T335" s="237"/>
      <c r="AV335" s="237"/>
    </row>
    <row r="336" spans="12:48">
      <c r="L336" s="237"/>
      <c r="T336" s="237"/>
      <c r="AV336" s="237"/>
    </row>
    <row r="337" spans="12:48">
      <c r="L337" s="237"/>
      <c r="T337" s="237"/>
      <c r="AV337" s="237"/>
    </row>
    <row r="338" spans="12:48">
      <c r="L338" s="237"/>
      <c r="T338" s="237"/>
      <c r="AV338" s="237"/>
    </row>
    <row r="339" spans="12:48">
      <c r="L339" s="237"/>
      <c r="T339" s="237"/>
      <c r="AV339" s="237"/>
    </row>
    <row r="340" spans="12:48">
      <c r="L340" s="237"/>
      <c r="T340" s="237"/>
      <c r="AV340" s="237"/>
    </row>
    <row r="341" spans="12:48">
      <c r="L341" s="237"/>
      <c r="T341" s="237"/>
      <c r="AV341" s="237"/>
    </row>
    <row r="342" spans="12:48">
      <c r="L342" s="237"/>
      <c r="T342" s="237"/>
      <c r="AV342" s="237"/>
    </row>
    <row r="343" spans="12:48">
      <c r="L343" s="237"/>
      <c r="T343" s="237"/>
      <c r="AV343" s="237"/>
    </row>
    <row r="344" spans="12:48">
      <c r="L344" s="237"/>
      <c r="T344" s="237"/>
      <c r="AV344" s="237"/>
    </row>
    <row r="345" spans="12:48">
      <c r="L345" s="237"/>
      <c r="T345" s="237"/>
      <c r="AV345" s="237"/>
    </row>
    <row r="346" spans="12:48">
      <c r="L346" s="237"/>
      <c r="T346" s="237"/>
      <c r="AV346" s="237"/>
    </row>
    <row r="347" spans="12:48">
      <c r="L347" s="237"/>
      <c r="T347" s="237"/>
      <c r="AV347" s="237"/>
    </row>
    <row r="348" spans="12:48">
      <c r="L348" s="237"/>
      <c r="T348" s="237"/>
      <c r="AV348" s="237"/>
    </row>
    <row r="349" spans="12:48">
      <c r="L349" s="237"/>
      <c r="T349" s="237"/>
      <c r="AV349" s="237"/>
    </row>
    <row r="350" spans="12:48">
      <c r="L350" s="237"/>
      <c r="T350" s="237"/>
      <c r="AV350" s="237"/>
    </row>
    <row r="351" spans="12:48">
      <c r="L351" s="237"/>
      <c r="T351" s="237"/>
      <c r="AV351" s="237"/>
    </row>
    <row r="352" spans="12:48">
      <c r="L352" s="237"/>
      <c r="T352" s="237"/>
      <c r="AV352" s="237"/>
    </row>
    <row r="353" spans="12:48">
      <c r="L353" s="237"/>
      <c r="T353" s="237"/>
      <c r="AV353" s="237"/>
    </row>
    <row r="354" spans="12:48">
      <c r="L354" s="237"/>
      <c r="T354" s="237"/>
      <c r="AV354" s="237"/>
    </row>
    <row r="355" spans="12:48">
      <c r="L355" s="237"/>
      <c r="T355" s="237"/>
      <c r="AV355" s="237"/>
    </row>
    <row r="356" spans="12:48">
      <c r="L356" s="237"/>
      <c r="T356" s="237"/>
      <c r="AV356" s="237"/>
    </row>
    <row r="357" spans="12:48">
      <c r="L357" s="237"/>
      <c r="T357" s="237"/>
      <c r="AV357" s="237"/>
    </row>
    <row r="358" spans="12:48">
      <c r="L358" s="237"/>
      <c r="T358" s="237"/>
      <c r="AV358" s="237"/>
    </row>
    <row r="359" spans="12:48">
      <c r="L359" s="237"/>
      <c r="T359" s="237"/>
      <c r="AV359" s="237"/>
    </row>
    <row r="360" spans="12:48">
      <c r="L360" s="237"/>
      <c r="T360" s="237"/>
      <c r="AV360" s="237"/>
    </row>
    <row r="361" spans="12:48">
      <c r="L361" s="238"/>
    </row>
    <row r="362" spans="12:48">
      <c r="L362" s="238"/>
    </row>
    <row r="363" spans="12:48">
      <c r="L363" s="238"/>
    </row>
    <row r="364" spans="12:48">
      <c r="L364" s="238"/>
    </row>
    <row r="365" spans="12:48">
      <c r="L365" s="238"/>
    </row>
    <row r="366" spans="12:48">
      <c r="L366" s="238"/>
    </row>
    <row r="367" spans="12:48">
      <c r="L367" s="238"/>
    </row>
    <row r="368" spans="12:48">
      <c r="L368" s="238"/>
    </row>
    <row r="369" spans="12:12">
      <c r="L369" s="238"/>
    </row>
    <row r="370" spans="12:12">
      <c r="L370" s="238"/>
    </row>
    <row r="371" spans="12:12">
      <c r="L371" s="238"/>
    </row>
    <row r="372" spans="12:12">
      <c r="L372" s="238"/>
    </row>
    <row r="373" spans="12:12">
      <c r="L373" s="238"/>
    </row>
    <row r="374" spans="12:12">
      <c r="L374" s="238"/>
    </row>
    <row r="375" spans="12:12">
      <c r="L375" s="238"/>
    </row>
    <row r="376" spans="12:12">
      <c r="L376" s="238"/>
    </row>
    <row r="377" spans="12:12">
      <c r="L377" s="238"/>
    </row>
    <row r="378" spans="12:12">
      <c r="L378" s="238"/>
    </row>
    <row r="379" spans="12:12">
      <c r="L379" s="238"/>
    </row>
    <row r="380" spans="12:12">
      <c r="L380" s="238"/>
    </row>
    <row r="381" spans="12:12">
      <c r="L381" s="238"/>
    </row>
    <row r="382" spans="12:12">
      <c r="L382" s="238"/>
    </row>
    <row r="383" spans="12:12">
      <c r="L383" s="238"/>
    </row>
    <row r="384" spans="12:12">
      <c r="L384" s="238"/>
    </row>
    <row r="385" spans="12:12">
      <c r="L385" s="238"/>
    </row>
    <row r="386" spans="12:12">
      <c r="L386" s="238"/>
    </row>
    <row r="387" spans="12:12">
      <c r="L387" s="238"/>
    </row>
    <row r="388" spans="12:12">
      <c r="L388" s="238"/>
    </row>
    <row r="389" spans="12:12">
      <c r="L389" s="238"/>
    </row>
    <row r="390" spans="12:12">
      <c r="L390" s="238"/>
    </row>
    <row r="391" spans="12:12">
      <c r="L391" s="238"/>
    </row>
    <row r="392" spans="12:12">
      <c r="L392" s="238"/>
    </row>
    <row r="393" spans="12:12">
      <c r="L393" s="238"/>
    </row>
    <row r="394" spans="12:12">
      <c r="L394" s="238"/>
    </row>
    <row r="395" spans="12:12">
      <c r="L395" s="238"/>
    </row>
    <row r="396" spans="12:12">
      <c r="L396" s="238"/>
    </row>
    <row r="397" spans="12:12">
      <c r="L397" s="238"/>
    </row>
    <row r="398" spans="12:12">
      <c r="L398" s="238"/>
    </row>
    <row r="399" spans="12:12">
      <c r="L399" s="238"/>
    </row>
    <row r="400" spans="12:12">
      <c r="L400" s="238"/>
    </row>
    <row r="401" spans="12:12">
      <c r="L401" s="238"/>
    </row>
    <row r="402" spans="12:12">
      <c r="L402" s="238"/>
    </row>
    <row r="403" spans="12:12">
      <c r="L403" s="238"/>
    </row>
    <row r="404" spans="12:12">
      <c r="L404" s="238"/>
    </row>
    <row r="405" spans="12:12">
      <c r="L405" s="238"/>
    </row>
    <row r="406" spans="12:12">
      <c r="L406" s="238"/>
    </row>
    <row r="407" spans="12:12">
      <c r="L407" s="238"/>
    </row>
    <row r="408" spans="12:12">
      <c r="L408" s="238"/>
    </row>
    <row r="409" spans="12:12">
      <c r="L409" s="238"/>
    </row>
    <row r="410" spans="12:12">
      <c r="L410" s="238"/>
    </row>
    <row r="411" spans="12:12">
      <c r="L411" s="238"/>
    </row>
    <row r="412" spans="12:12">
      <c r="L412" s="238"/>
    </row>
    <row r="413" spans="12:12">
      <c r="L413" s="238"/>
    </row>
    <row r="414" spans="12:12">
      <c r="L414" s="238"/>
    </row>
    <row r="415" spans="12:12">
      <c r="L415" s="238"/>
    </row>
    <row r="416" spans="12:12">
      <c r="L416" s="238"/>
    </row>
    <row r="417" spans="12:12">
      <c r="L417" s="238"/>
    </row>
    <row r="418" spans="12:12">
      <c r="L418" s="238"/>
    </row>
    <row r="419" spans="12:12">
      <c r="L419" s="238"/>
    </row>
    <row r="420" spans="12:12">
      <c r="L420" s="238"/>
    </row>
    <row r="421" spans="12:12">
      <c r="L421" s="238"/>
    </row>
    <row r="422" spans="12:12">
      <c r="L422" s="238"/>
    </row>
    <row r="423" spans="12:12">
      <c r="L423" s="238"/>
    </row>
    <row r="424" spans="12:12">
      <c r="L424" s="238"/>
    </row>
    <row r="425" spans="12:12">
      <c r="L425" s="238"/>
    </row>
    <row r="426" spans="12:12">
      <c r="L426" s="238"/>
    </row>
    <row r="427" spans="12:12">
      <c r="L427" s="238"/>
    </row>
    <row r="428" spans="12:12">
      <c r="L428" s="238"/>
    </row>
    <row r="429" spans="12:12">
      <c r="L429" s="238"/>
    </row>
    <row r="430" spans="12:12">
      <c r="L430" s="238"/>
    </row>
    <row r="431" spans="12:12">
      <c r="L431" s="238"/>
    </row>
    <row r="432" spans="12:12">
      <c r="L432" s="238"/>
    </row>
    <row r="433" spans="12:12">
      <c r="L433" s="238"/>
    </row>
    <row r="434" spans="12:12">
      <c r="L434" s="238"/>
    </row>
    <row r="435" spans="12:12">
      <c r="L435" s="238"/>
    </row>
    <row r="436" spans="12:12">
      <c r="L436" s="238"/>
    </row>
    <row r="437" spans="12:12">
      <c r="L437" s="238"/>
    </row>
    <row r="438" spans="12:12">
      <c r="L438" s="238"/>
    </row>
    <row r="439" spans="12:12">
      <c r="L439" s="238"/>
    </row>
    <row r="440" spans="12:12">
      <c r="L440" s="238"/>
    </row>
    <row r="441" spans="12:12">
      <c r="L441" s="238"/>
    </row>
    <row r="442" spans="12:12">
      <c r="L442" s="238"/>
    </row>
    <row r="443" spans="12:12">
      <c r="L443" s="238"/>
    </row>
    <row r="444" spans="12:12">
      <c r="L444" s="238"/>
    </row>
    <row r="445" spans="12:12">
      <c r="L445" s="238"/>
    </row>
    <row r="446" spans="12:12">
      <c r="L446" s="238"/>
    </row>
    <row r="447" spans="12:12">
      <c r="L447" s="238"/>
    </row>
    <row r="448" spans="12:12">
      <c r="L448" s="238"/>
    </row>
    <row r="449" spans="12:12">
      <c r="L449" s="238"/>
    </row>
    <row r="450" spans="12:12">
      <c r="L450" s="238"/>
    </row>
    <row r="451" spans="12:12">
      <c r="L451" s="238"/>
    </row>
    <row r="452" spans="12:12">
      <c r="L452" s="238"/>
    </row>
    <row r="453" spans="12:12">
      <c r="L453" s="238"/>
    </row>
    <row r="454" spans="12:12">
      <c r="L454" s="238"/>
    </row>
    <row r="455" spans="12:12">
      <c r="L455" s="238"/>
    </row>
    <row r="456" spans="12:12">
      <c r="L456" s="238"/>
    </row>
    <row r="457" spans="12:12">
      <c r="L457" s="238"/>
    </row>
    <row r="458" spans="12:12">
      <c r="L458" s="238"/>
    </row>
    <row r="459" spans="12:12">
      <c r="L459" s="238"/>
    </row>
    <row r="460" spans="12:12">
      <c r="L460" s="238"/>
    </row>
    <row r="461" spans="12:12">
      <c r="L461" s="238"/>
    </row>
    <row r="462" spans="12:12">
      <c r="L462" s="238"/>
    </row>
    <row r="463" spans="12:12">
      <c r="L463" s="238"/>
    </row>
    <row r="464" spans="12:12">
      <c r="L464" s="238"/>
    </row>
    <row r="465" spans="12:12">
      <c r="L465" s="238"/>
    </row>
    <row r="466" spans="12:12">
      <c r="L466" s="238"/>
    </row>
    <row r="467" spans="12:12">
      <c r="L467" s="238"/>
    </row>
    <row r="468" spans="12:12">
      <c r="L468" s="238"/>
    </row>
    <row r="469" spans="12:12">
      <c r="L469" s="238"/>
    </row>
    <row r="470" spans="12:12">
      <c r="L470" s="238"/>
    </row>
    <row r="471" spans="12:12">
      <c r="L471" s="238"/>
    </row>
    <row r="472" spans="12:12">
      <c r="L472" s="238"/>
    </row>
    <row r="473" spans="12:12">
      <c r="L473" s="238"/>
    </row>
    <row r="474" spans="12:12">
      <c r="L474" s="238"/>
    </row>
    <row r="475" spans="12:12">
      <c r="L475" s="238"/>
    </row>
    <row r="476" spans="12:12">
      <c r="L476" s="238"/>
    </row>
    <row r="477" spans="12:12">
      <c r="L477" s="238"/>
    </row>
    <row r="478" spans="12:12">
      <c r="L478" s="238"/>
    </row>
    <row r="479" spans="12:12">
      <c r="L479" s="238"/>
    </row>
    <row r="480" spans="12:12">
      <c r="L480" s="238"/>
    </row>
    <row r="481" spans="12:12">
      <c r="L481" s="238"/>
    </row>
    <row r="482" spans="12:12">
      <c r="L482" s="238"/>
    </row>
    <row r="483" spans="12:12">
      <c r="L483" s="238"/>
    </row>
    <row r="484" spans="12:12">
      <c r="L484" s="238"/>
    </row>
    <row r="485" spans="12:12">
      <c r="L485" s="238"/>
    </row>
    <row r="486" spans="12:12">
      <c r="L486" s="238"/>
    </row>
    <row r="487" spans="12:12">
      <c r="L487" s="238"/>
    </row>
    <row r="488" spans="12:12">
      <c r="L488" s="238"/>
    </row>
    <row r="489" spans="12:12">
      <c r="L489" s="238"/>
    </row>
    <row r="490" spans="12:12">
      <c r="L490" s="238"/>
    </row>
    <row r="491" spans="12:12">
      <c r="L491" s="238"/>
    </row>
    <row r="492" spans="12:12">
      <c r="L492" s="238"/>
    </row>
    <row r="493" spans="12:12">
      <c r="L493" s="238"/>
    </row>
    <row r="494" spans="12:12">
      <c r="L494" s="238"/>
    </row>
    <row r="495" spans="12:12">
      <c r="L495" s="238"/>
    </row>
    <row r="496" spans="12:12">
      <c r="L496" s="238"/>
    </row>
    <row r="497" spans="12:12">
      <c r="L497" s="238"/>
    </row>
    <row r="498" spans="12:12">
      <c r="L498" s="238"/>
    </row>
    <row r="499" spans="12:12">
      <c r="L499" s="238"/>
    </row>
    <row r="500" spans="12:12">
      <c r="L500" s="238"/>
    </row>
    <row r="501" spans="12:12">
      <c r="L501" s="238"/>
    </row>
    <row r="502" spans="12:12">
      <c r="L502" s="238"/>
    </row>
    <row r="503" spans="12:12">
      <c r="L503" s="238"/>
    </row>
    <row r="504" spans="12:12">
      <c r="L504" s="238"/>
    </row>
    <row r="505" spans="12:12">
      <c r="L505" s="238"/>
    </row>
    <row r="506" spans="12:12">
      <c r="L506" s="238"/>
    </row>
    <row r="507" spans="12:12">
      <c r="L507" s="238"/>
    </row>
    <row r="508" spans="12:12">
      <c r="L508" s="238"/>
    </row>
    <row r="509" spans="12:12">
      <c r="L509" s="238"/>
    </row>
    <row r="510" spans="12:12">
      <c r="L510" s="238"/>
    </row>
    <row r="511" spans="12:12">
      <c r="L511" s="238"/>
    </row>
    <row r="512" spans="12:12">
      <c r="L512" s="238"/>
    </row>
    <row r="513" spans="12:12">
      <c r="L513" s="238"/>
    </row>
    <row r="514" spans="12:12">
      <c r="L514" s="238"/>
    </row>
    <row r="515" spans="12:12">
      <c r="L515" s="238"/>
    </row>
    <row r="516" spans="12:12">
      <c r="L516" s="238"/>
    </row>
    <row r="517" spans="12:12">
      <c r="L517" s="238"/>
    </row>
    <row r="518" spans="12:12">
      <c r="L518" s="238"/>
    </row>
    <row r="519" spans="12:12">
      <c r="L519" s="238"/>
    </row>
    <row r="520" spans="12:12">
      <c r="L520" s="238"/>
    </row>
    <row r="521" spans="12:12">
      <c r="L521" s="238"/>
    </row>
    <row r="522" spans="12:12">
      <c r="L522" s="238"/>
    </row>
    <row r="523" spans="12:12">
      <c r="L523" s="238"/>
    </row>
    <row r="524" spans="12:12">
      <c r="L524" s="238"/>
    </row>
    <row r="525" spans="12:12">
      <c r="L525" s="238"/>
    </row>
    <row r="526" spans="12:12">
      <c r="L526" s="238"/>
    </row>
    <row r="527" spans="12:12">
      <c r="L527" s="238"/>
    </row>
    <row r="528" spans="12:12">
      <c r="L528" s="238"/>
    </row>
    <row r="529" spans="12:12">
      <c r="L529" s="238"/>
    </row>
    <row r="530" spans="12:12">
      <c r="L530" s="238"/>
    </row>
    <row r="531" spans="12:12">
      <c r="L531" s="238"/>
    </row>
    <row r="532" spans="12:12">
      <c r="L532" s="238"/>
    </row>
    <row r="533" spans="12:12">
      <c r="L533" s="238"/>
    </row>
    <row r="534" spans="12:12">
      <c r="L534" s="238"/>
    </row>
    <row r="535" spans="12:12">
      <c r="L535" s="238"/>
    </row>
    <row r="536" spans="12:12">
      <c r="L536" s="238"/>
    </row>
    <row r="537" spans="12:12">
      <c r="L537" s="238"/>
    </row>
    <row r="538" spans="12:12">
      <c r="L538" s="238"/>
    </row>
    <row r="539" spans="12:12">
      <c r="L539" s="238"/>
    </row>
    <row r="540" spans="12:12">
      <c r="L540" s="238"/>
    </row>
    <row r="541" spans="12:12">
      <c r="L541" s="238"/>
    </row>
    <row r="542" spans="12:12">
      <c r="L542" s="238"/>
    </row>
    <row r="543" spans="12:12">
      <c r="L543" s="238"/>
    </row>
    <row r="544" spans="12:12">
      <c r="L544" s="238"/>
    </row>
    <row r="545" spans="12:12">
      <c r="L545" s="238"/>
    </row>
    <row r="546" spans="12:12">
      <c r="L546" s="238"/>
    </row>
    <row r="547" spans="12:12">
      <c r="L547" s="238"/>
    </row>
    <row r="548" spans="12:12">
      <c r="L548" s="238"/>
    </row>
    <row r="549" spans="12:12">
      <c r="L549" s="238"/>
    </row>
    <row r="550" spans="12:12">
      <c r="L550" s="238"/>
    </row>
    <row r="551" spans="12:12">
      <c r="L551" s="238"/>
    </row>
    <row r="552" spans="12:12">
      <c r="L552" s="238"/>
    </row>
    <row r="553" spans="12:12">
      <c r="L553" s="238"/>
    </row>
    <row r="554" spans="12:12">
      <c r="L554" s="238"/>
    </row>
    <row r="555" spans="12:12">
      <c r="L555" s="238"/>
    </row>
    <row r="556" spans="12:12">
      <c r="L556" s="238"/>
    </row>
    <row r="557" spans="12:12">
      <c r="L557" s="238"/>
    </row>
    <row r="558" spans="12:12">
      <c r="L558" s="238"/>
    </row>
    <row r="559" spans="12:12">
      <c r="L559" s="238"/>
    </row>
    <row r="560" spans="12:12">
      <c r="L560" s="238"/>
    </row>
    <row r="561" spans="12:12">
      <c r="L561" s="238"/>
    </row>
    <row r="562" spans="12:12">
      <c r="L562" s="238"/>
    </row>
    <row r="563" spans="12:12">
      <c r="L563" s="238"/>
    </row>
    <row r="564" spans="12:12">
      <c r="L564" s="238"/>
    </row>
    <row r="565" spans="12:12">
      <c r="L565" s="238"/>
    </row>
    <row r="566" spans="12:12">
      <c r="L566" s="238"/>
    </row>
    <row r="567" spans="12:12">
      <c r="L567" s="238"/>
    </row>
    <row r="568" spans="12:12">
      <c r="L568" s="238"/>
    </row>
    <row r="569" spans="12:12">
      <c r="L569" s="238"/>
    </row>
    <row r="570" spans="12:12">
      <c r="L570" s="238"/>
    </row>
    <row r="571" spans="12:12">
      <c r="L571" s="238"/>
    </row>
    <row r="572" spans="12:12">
      <c r="L572" s="238"/>
    </row>
    <row r="573" spans="12:12">
      <c r="L573" s="238"/>
    </row>
    <row r="574" spans="12:12">
      <c r="L574" s="238"/>
    </row>
    <row r="575" spans="12:12">
      <c r="L575" s="238"/>
    </row>
    <row r="576" spans="12:12">
      <c r="L576" s="238"/>
    </row>
    <row r="577" spans="12:12">
      <c r="L577" s="238"/>
    </row>
    <row r="578" spans="12:12">
      <c r="L578" s="238"/>
    </row>
    <row r="579" spans="12:12">
      <c r="L579" s="238"/>
    </row>
    <row r="580" spans="12:12">
      <c r="L580" s="238"/>
    </row>
    <row r="581" spans="12:12">
      <c r="L581" s="238"/>
    </row>
    <row r="582" spans="12:12">
      <c r="L582" s="238"/>
    </row>
    <row r="583" spans="12:12">
      <c r="L583" s="238"/>
    </row>
  </sheetData>
  <pageMargins left="0.15" right="0.59" top="0.73" bottom="0.51" header="0.25" footer="0.13"/>
  <pageSetup paperSize="9" orientation="landscape" blackAndWhite="1" horizontalDpi="300" verticalDpi="300" r:id="rId1"/>
  <headerFooter alignWithMargins="0">
    <oddHeader>&amp;L&amp;A&amp;R&amp;F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Clim_CAFS</vt:lpstr>
      <vt:lpstr>Instructions</vt:lpstr>
      <vt:lpstr>3PGpjs2.7_Parameters</vt:lpstr>
      <vt:lpstr>SingleSite_Red Alder</vt:lpstr>
      <vt:lpstr>Clim_Alder</vt:lpstr>
      <vt:lpstr>'3PGpjs2.7_Parameters'!Print_Area</vt:lpstr>
      <vt:lpstr>Clim_Alder!Print_Area</vt:lpstr>
      <vt:lpstr>Clim_CAFS!Print_Area</vt:lpstr>
      <vt:lpstr>'SingleSite_Red Alder'!Print_Area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3PGpjs vsn 2.7</dc:title>
  <dc:creator>Peter Sands</dc:creator>
  <cp:lastModifiedBy>Ga bby</cp:lastModifiedBy>
  <cp:lastPrinted>2017-02-14T01:46:03Z</cp:lastPrinted>
  <dcterms:created xsi:type="dcterms:W3CDTF">2001-11-24T04:33:55Z</dcterms:created>
  <dcterms:modified xsi:type="dcterms:W3CDTF">2024-12-06T04:46:20Z</dcterms:modified>
</cp:coreProperties>
</file>