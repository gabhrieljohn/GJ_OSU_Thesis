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nzacar\Box\FOR526\2024\Lecture7\"/>
    </mc:Choice>
  </mc:AlternateContent>
  <xr:revisionPtr revIDLastSave="0" documentId="13_ncr:1_{F0D3E178-7474-4BC7-9ECC-FA8C933994FC}" xr6:coauthVersionLast="36" xr6:coauthVersionMax="36" xr10:uidLastSave="{00000000-0000-0000-0000-000000000000}"/>
  <bookViews>
    <workbookView xWindow="0" yWindow="0" windowWidth="28800" windowHeight="12300" tabRatio="739" activeTab="1" xr2:uid="{00000000-000D-0000-FFFF-FFFF00000000}"/>
  </bookViews>
  <sheets>
    <sheet name="3PGpjs2.7_Parameters" sheetId="36382" r:id="rId1"/>
    <sheet name="FOR-526_Ex7" sheetId="36457" r:id="rId2"/>
    <sheet name="ouptput" sheetId="36458" r:id="rId3"/>
    <sheet name="3PGpjs_Outputs" sheetId="36389" r:id="rId4"/>
  </sheets>
  <functionGroups builtInGroupCount="19"/>
  <definedNames>
    <definedName name="__1" localSheetId="1">#REF!</definedName>
    <definedName name="__1">#REF!</definedName>
    <definedName name="_2" localSheetId="1">#REF!</definedName>
    <definedName name="_2">#REF!</definedName>
    <definedName name="_xlnm._FilterDatabase" localSheetId="2" hidden="1">ouptput!$A$1:$P$131</definedName>
    <definedName name="A" localSheetId="1">#REF!</definedName>
    <definedName name="A">#REF!</definedName>
    <definedName name="Aspect" localSheetId="1">#REF!</definedName>
    <definedName name="Aspect">#REF!</definedName>
    <definedName name="base" localSheetId="1">#REF!</definedName>
    <definedName name="base">#REF!</definedName>
    <definedName name="BBB" localSheetId="1">#REF!</definedName>
    <definedName name="BBB">#REF!</definedName>
    <definedName name="Clim_OR" localSheetId="1">#REF!</definedName>
    <definedName name="Clim_OR">#REF!</definedName>
    <definedName name="COLO" localSheetId="1">#REF!</definedName>
    <definedName name="COLO">#REF!</definedName>
    <definedName name="DF" localSheetId="1">#REF!</definedName>
    <definedName name="DF">#REF!</definedName>
    <definedName name="Douglasfir" localSheetId="1">#REF!</definedName>
    <definedName name="Douglasfir">#REF!</definedName>
    <definedName name="Ecohydrology" localSheetId="1">#REF!</definedName>
    <definedName name="Ecohydrology">#REF!</definedName>
    <definedName name="Ecohydrology2" localSheetId="1">#REF!</definedName>
    <definedName name="Ecohydrology2">#REF!</definedName>
    <definedName name="evap" localSheetId="1">#REF!</definedName>
    <definedName name="evap">#REF!</definedName>
    <definedName name="extreme" localSheetId="1">#REF!</definedName>
    <definedName name="extreme">#REF!</definedName>
    <definedName name="F" localSheetId="1">#REF!</definedName>
    <definedName name="F">#REF!</definedName>
    <definedName name="FF" localSheetId="1">#REF!</definedName>
    <definedName name="FF">#REF!</definedName>
    <definedName name="Flagstaff" localSheetId="1">#REF!</definedName>
    <definedName name="Flagstaff">#REF!</definedName>
    <definedName name="FWZ" localSheetId="1">#REF!</definedName>
    <definedName name="FWZ">#REF!</definedName>
    <definedName name="G" localSheetId="1">#REF!</definedName>
    <definedName name="G">#REF!</definedName>
    <definedName name="H" localSheetId="1">#REF!</definedName>
    <definedName name="H">#REF!</definedName>
    <definedName name="I" localSheetId="1">#REF!</definedName>
    <definedName name="I">#REF!</definedName>
    <definedName name="III" localSheetId="1">#REF!</definedName>
    <definedName name="III">#REF!</definedName>
    <definedName name="IJ" localSheetId="1">#REF!</definedName>
    <definedName name="IJ">#REF!</definedName>
    <definedName name="J" localSheetId="1">#REF!</definedName>
    <definedName name="J">#REF!</definedName>
    <definedName name="K" localSheetId="1">#REF!</definedName>
    <definedName name="K">#REF!</definedName>
    <definedName name="KL" localSheetId="1">#REF!</definedName>
    <definedName name="KL">#REF!</definedName>
    <definedName name="L" localSheetId="1">#REF!</definedName>
    <definedName name="L">#REF!</definedName>
    <definedName name="Latitude" localSheetId="1">#REF!</definedName>
    <definedName name="Latitude">#REF!</definedName>
    <definedName name="LI" localSheetId="1">#REF!</definedName>
    <definedName name="LI">#REF!</definedName>
    <definedName name="LK" localSheetId="1">#REF!</definedName>
    <definedName name="LK">#REF!</definedName>
    <definedName name="Longitude" localSheetId="1">#REF!</definedName>
    <definedName name="Longitude">#REF!</definedName>
    <definedName name="LTER" localSheetId="1">#REF!</definedName>
    <definedName name="LTER">#REF!</definedName>
    <definedName name="m" localSheetId="1">#REF!</definedName>
    <definedName name="m">#REF!</definedName>
    <definedName name="Metdata" localSheetId="1">#REF!</definedName>
    <definedName name="Metdata">#REF!</definedName>
    <definedName name="Metolius" localSheetId="1">#REF!</definedName>
    <definedName name="Metolius">#REF!</definedName>
    <definedName name="Month" localSheetId="1">#REF!</definedName>
    <definedName name="Month">#REF!</definedName>
    <definedName name="n" localSheetId="1">#REF!</definedName>
    <definedName name="n">#REF!</definedName>
    <definedName name="newmetolus" localSheetId="1">#REF!</definedName>
    <definedName name="newmetolus">#REF!</definedName>
    <definedName name="NO" localSheetId="1">#REF!</definedName>
    <definedName name="NO">#REF!</definedName>
    <definedName name="p" localSheetId="1">#REF!</definedName>
    <definedName name="p">#REF!</definedName>
    <definedName name="Pem" localSheetId="1">#REF!</definedName>
    <definedName name="Pem">#REF!</definedName>
    <definedName name="Pemberton" localSheetId="1">#REF!</definedName>
    <definedName name="Pemberton">#REF!</definedName>
    <definedName name="Pemberton_average" localSheetId="1">#REF!</definedName>
    <definedName name="Pemberton_average">#REF!</definedName>
    <definedName name="Pemberton_xyx" localSheetId="1">#REF!</definedName>
    <definedName name="Pemberton_xyx">#REF!</definedName>
    <definedName name="ponderosa" localSheetId="1">#REF!</definedName>
    <definedName name="ponderosa">#REF!</definedName>
    <definedName name="PQ" localSheetId="1">#REF!</definedName>
    <definedName name="PQ">#REF!</definedName>
    <definedName name="Q" localSheetId="1">#REF!</definedName>
    <definedName name="Q">#REF!</definedName>
    <definedName name="QH" localSheetId="1">#REF!</definedName>
    <definedName name="QH">#REF!</definedName>
    <definedName name="RETEST" localSheetId="1">#REF!</definedName>
    <definedName name="RETEST">#REF!</definedName>
    <definedName name="RS" localSheetId="1">#REF!</definedName>
    <definedName name="RS">#REF!</definedName>
    <definedName name="slo" localSheetId="1">#REF!</definedName>
    <definedName name="slo">#REF!</definedName>
    <definedName name="Slope" localSheetId="1">#REF!</definedName>
    <definedName name="Slope">#REF!</definedName>
    <definedName name="slope1" localSheetId="1">#REF!</definedName>
    <definedName name="slope1">#REF!</definedName>
    <definedName name="Socorro" localSheetId="1">#REF!</definedName>
    <definedName name="Socorro">#REF!</definedName>
    <definedName name="Socorro2" localSheetId="1">#REF!</definedName>
    <definedName name="Socorro2">#REF!</definedName>
    <definedName name="Solar_Constant" localSheetId="1">#REF!</definedName>
    <definedName name="Solar_Constant">#REF!</definedName>
    <definedName name="ST" localSheetId="1">#REF!</definedName>
    <definedName name="ST">#REF!</definedName>
    <definedName name="Standard_Meridian" localSheetId="1">#REF!</definedName>
    <definedName name="Standard_Meridian">#REF!</definedName>
    <definedName name="StandardMeridian" localSheetId="1">#REF!</definedName>
    <definedName name="StandardMeridian">#REF!</definedName>
    <definedName name="T" localSheetId="1">#REF!</definedName>
    <definedName name="T">#REF!</definedName>
    <definedName name="tes2t" localSheetId="1">#REF!</definedName>
    <definedName name="tes2t">#REF!</definedName>
    <definedName name="Test" localSheetId="1">#REF!</definedName>
    <definedName name="Test">#REF!</definedName>
    <definedName name="test1" localSheetId="1">#REF!</definedName>
    <definedName name="test1">#REF!</definedName>
    <definedName name="testable" localSheetId="1">#REF!</definedName>
    <definedName name="testable">#REF!</definedName>
    <definedName name="TEXT" localSheetId="1">#REF!</definedName>
    <definedName name="TEXT">#REF!</definedName>
    <definedName name="Transmissivity" localSheetId="1">#REF!</definedName>
    <definedName name="Transmissivity">#REF!</definedName>
    <definedName name="u" localSheetId="1">#REF!</definedName>
    <definedName name="u">#REF!</definedName>
    <definedName name="UU" localSheetId="1">#REF!</definedName>
    <definedName name="UU">#REF!</definedName>
    <definedName name="valid" localSheetId="1">#REF!</definedName>
    <definedName name="valid">#REF!</definedName>
    <definedName name="x" localSheetId="1">#REF!</definedName>
    <definedName name="x">#REF!</definedName>
    <definedName name="XYZ" localSheetId="1">#REF!</definedName>
    <definedName name="XYZ">#REF!</definedName>
    <definedName name="Z" localSheetId="1">#REF!</definedName>
    <definedName name="Z">#REF!</definedName>
    <definedName name="zf" localSheetId="1">#REF!</definedName>
    <definedName name="zf">#REF!</definedName>
  </definedNames>
  <calcPr calcId="191029"/>
</workbook>
</file>

<file path=xl/calcChain.xml><?xml version="1.0" encoding="utf-8"?>
<calcChain xmlns="http://schemas.openxmlformats.org/spreadsheetml/2006/main">
  <c r="AF6" i="36457" l="1"/>
  <c r="G11" i="36457" l="1"/>
  <c r="AB7" i="36457"/>
  <c r="AB8" i="36457"/>
  <c r="AB9" i="36457"/>
  <c r="AB10" i="36457"/>
  <c r="AB11" i="36457"/>
  <c r="AB12" i="36457"/>
  <c r="AB13" i="36457"/>
  <c r="AB14" i="36457"/>
  <c r="AB15" i="36457"/>
  <c r="AB6" i="36457"/>
  <c r="L41" i="36457" l="1"/>
  <c r="M41" i="36457" s="1"/>
  <c r="L40" i="36457"/>
  <c r="M40" i="36457" s="1"/>
  <c r="L39" i="36457"/>
  <c r="M39" i="36457" s="1"/>
  <c r="L38" i="36457"/>
  <c r="M38" i="36457" s="1"/>
  <c r="L37" i="36457"/>
  <c r="M37" i="36457" s="1"/>
  <c r="L36" i="36457"/>
  <c r="M36" i="36457" s="1"/>
  <c r="L35" i="36457"/>
  <c r="M35" i="36457" s="1"/>
  <c r="L34" i="36457"/>
  <c r="M34" i="36457" s="1"/>
  <c r="L33" i="36457"/>
  <c r="M33" i="36457" s="1"/>
  <c r="L32" i="36457"/>
  <c r="M32" i="36457" s="1"/>
  <c r="L31" i="36457"/>
  <c r="M31" i="36457" s="1"/>
  <c r="L30" i="36457"/>
  <c r="M30" i="36457" s="1"/>
  <c r="L29" i="36457"/>
  <c r="M29" i="36457" s="1"/>
  <c r="AE6" i="36457"/>
  <c r="AF3" i="36457"/>
  <c r="AH6" i="36457" s="1"/>
  <c r="AH4" i="36457" l="1"/>
  <c r="AJ4" i="36457" s="1"/>
  <c r="N41" i="36457"/>
  <c r="U8" i="36457"/>
  <c r="AG6" i="36457" l="1"/>
  <c r="U10" i="36457"/>
  <c r="U15" i="36457"/>
  <c r="U7" i="36457"/>
  <c r="U14" i="36457"/>
  <c r="U6" i="36457"/>
  <c r="U9" i="36457"/>
  <c r="U13" i="36457"/>
  <c r="U12" i="36457"/>
  <c r="U11" i="36457"/>
  <c r="U17" i="36457"/>
  <c r="U16" i="36457"/>
  <c r="AY6" i="36457"/>
  <c r="AX6" i="36457"/>
  <c r="BA5" i="36457"/>
  <c r="AZ5" i="36457"/>
  <c r="BA13" i="36457" s="1"/>
  <c r="AX7" i="36457"/>
  <c r="AX8" i="36457"/>
  <c r="AX9" i="36457"/>
  <c r="AX10" i="36457"/>
  <c r="AX11" i="36457"/>
  <c r="AX12" i="36457"/>
  <c r="AX13" i="36457"/>
  <c r="AX14" i="36457"/>
  <c r="AX15" i="36457"/>
  <c r="AX16" i="36457"/>
  <c r="AX17" i="36457"/>
  <c r="AY7" i="36457"/>
  <c r="AY8" i="36457"/>
  <c r="AY9" i="36457"/>
  <c r="AY10" i="36457"/>
  <c r="AY11" i="36457"/>
  <c r="AY12" i="36457"/>
  <c r="AY13" i="36457"/>
  <c r="AY14" i="36457"/>
  <c r="AY15" i="36457"/>
  <c r="AY16" i="36457"/>
  <c r="AY17" i="36457"/>
  <c r="BC7" i="36457"/>
  <c r="BC9" i="36457" s="1"/>
  <c r="AZ16" i="36457" l="1"/>
  <c r="AZ8" i="36457"/>
  <c r="AZ6" i="36457"/>
  <c r="BA11" i="36457"/>
  <c r="BA6" i="36457"/>
  <c r="BA10" i="36457"/>
  <c r="AZ13" i="36457"/>
  <c r="BA17" i="36457"/>
  <c r="BA9" i="36457"/>
  <c r="AZ15" i="36457"/>
  <c r="BA16" i="36457"/>
  <c r="BA8" i="36457"/>
  <c r="BA12" i="36457"/>
  <c r="AZ7" i="36457"/>
  <c r="AZ14" i="36457"/>
  <c r="AZ12" i="36457"/>
  <c r="AZ11" i="36457"/>
  <c r="BA15" i="36457"/>
  <c r="BA7" i="36457"/>
  <c r="AZ10" i="36457"/>
  <c r="BA14" i="36457"/>
  <c r="AZ17" i="36457"/>
  <c r="AZ9" i="36457"/>
</calcChain>
</file>

<file path=xl/sharedStrings.xml><?xml version="1.0" encoding="utf-8"?>
<sst xmlns="http://schemas.openxmlformats.org/spreadsheetml/2006/main" count="610" uniqueCount="493">
  <si>
    <t>Pinyon pine</t>
  </si>
  <si>
    <t>Juniper</t>
  </si>
  <si>
    <t xml:space="preserve">Do NOT change the format of this block.  You can edit values in the </t>
  </si>
  <si>
    <t>value columns, or add columns of values to the right for additional species.</t>
  </si>
  <si>
    <t>Meaning/comments</t>
  </si>
  <si>
    <t>Name</t>
  </si>
  <si>
    <t>Units</t>
  </si>
  <si>
    <t>E. globulus</t>
  </si>
  <si>
    <t>P. radiata</t>
  </si>
  <si>
    <t>Biomass partitioning and turnover</t>
  </si>
  <si>
    <t>(S&amp;L 2002)</t>
  </si>
  <si>
    <t>(BFG)</t>
  </si>
  <si>
    <t>Allometric relationships &amp; partitioning</t>
  </si>
  <si>
    <t>Foliage:stem partitioning ratio @ D=2 cm</t>
  </si>
  <si>
    <t>pFS2</t>
  </si>
  <si>
    <t>-</t>
  </si>
  <si>
    <t>Foliage:stem partitioning ratio @ D=20 cm</t>
  </si>
  <si>
    <t>pFS20</t>
  </si>
  <si>
    <t>Constant in the stem mass v. diam. relationship</t>
  </si>
  <si>
    <t>aS</t>
  </si>
  <si>
    <t>Power in the stem mass v. diam. relationship</t>
  </si>
  <si>
    <t>nS</t>
  </si>
  <si>
    <t>Maximum fraction of NPP to roots</t>
  </si>
  <si>
    <t>pRx</t>
  </si>
  <si>
    <t>Minimum fraction of NPP to roots</t>
  </si>
  <si>
    <t>pRn</t>
  </si>
  <si>
    <t>Litterfall &amp; root turnover</t>
  </si>
  <si>
    <t>Maximum litterfall rate</t>
  </si>
  <si>
    <t>gammaFx</t>
  </si>
  <si>
    <t>1/month</t>
  </si>
  <si>
    <t>Litterfall rate at t = 0</t>
  </si>
  <si>
    <t>gammaF0</t>
  </si>
  <si>
    <t>Age at which litterfall rate has median value</t>
  </si>
  <si>
    <t>tgammaF</t>
  </si>
  <si>
    <t>months</t>
  </si>
  <si>
    <t>Average monthly root turnover rate</t>
  </si>
  <si>
    <t>gammaR</t>
  </si>
  <si>
    <t>NPP &amp; conductance modifiers</t>
  </si>
  <si>
    <t>Temperature modifier (fT)</t>
  </si>
  <si>
    <t>Minimum temperature for growth</t>
  </si>
  <si>
    <t>Tmin</t>
  </si>
  <si>
    <t>deg. C</t>
  </si>
  <si>
    <t>Optimum temperature for growth</t>
  </si>
  <si>
    <t>Topt</t>
  </si>
  <si>
    <t>Maximum temperature for growth</t>
  </si>
  <si>
    <t>Tmax</t>
  </si>
  <si>
    <t>Frost modifier (fFRost)</t>
  </si>
  <si>
    <t>Days production lost per frost day</t>
  </si>
  <si>
    <t>kF</t>
  </si>
  <si>
    <t>days</t>
  </si>
  <si>
    <t>Soil water modifier (fSW)</t>
  </si>
  <si>
    <t>SWconst</t>
  </si>
  <si>
    <t>Power of moisture ratio deficit</t>
  </si>
  <si>
    <t>SWpower</t>
  </si>
  <si>
    <t>Fertitlity effects</t>
  </si>
  <si>
    <t>Value of 'm' when FR = 0</t>
  </si>
  <si>
    <t>m0</t>
  </si>
  <si>
    <t>Value of 'fNutr' when FR = 0</t>
  </si>
  <si>
    <t>fN0</t>
  </si>
  <si>
    <t xml:space="preserve">Power of (1-FR) in 'fNutr' </t>
  </si>
  <si>
    <t>fNn</t>
  </si>
  <si>
    <t>Age modifier (fAge)</t>
  </si>
  <si>
    <t>Maximum stand age used in age modifier</t>
  </si>
  <si>
    <t>MaxAge</t>
  </si>
  <si>
    <t>years</t>
  </si>
  <si>
    <t>Power of relative age in function for fAge</t>
  </si>
  <si>
    <t>nAge</t>
  </si>
  <si>
    <t>Relative age to give fAge = 0.5</t>
  </si>
  <si>
    <t>rAge</t>
  </si>
  <si>
    <t>Stem mortality &amp; self-thinning</t>
  </si>
  <si>
    <t>Mortality rate for large t</t>
  </si>
  <si>
    <t>gammaNx</t>
  </si>
  <si>
    <t>%/year</t>
  </si>
  <si>
    <t>Seedling mortality rate (t = 0)</t>
  </si>
  <si>
    <t>gammaN0</t>
  </si>
  <si>
    <t>Age at which mortality rate has median value</t>
  </si>
  <si>
    <t>tgammaN</t>
  </si>
  <si>
    <t>Shape of mortality response</t>
  </si>
  <si>
    <t>ngammaN</t>
  </si>
  <si>
    <t>Max. stem mass per tree @ 1000 trees/hectare</t>
  </si>
  <si>
    <t>wSx1000</t>
  </si>
  <si>
    <t>kg/tree</t>
  </si>
  <si>
    <t>Power in self-thinning rule</t>
  </si>
  <si>
    <t>thinPower</t>
  </si>
  <si>
    <t>Fraction mean single-tree foliage biomass lost per dead tree</t>
  </si>
  <si>
    <t>mF</t>
  </si>
  <si>
    <t>Fraction mean single-tree root biomass lost per dead tree</t>
  </si>
  <si>
    <t>mR</t>
  </si>
  <si>
    <t>Fraction mean single-tree stem biomass lost per dead tree</t>
  </si>
  <si>
    <t>mS</t>
  </si>
  <si>
    <t>Canopy structure and processes</t>
  </si>
  <si>
    <t>Specific leaf area</t>
  </si>
  <si>
    <t>Specific leaf area at age 0</t>
  </si>
  <si>
    <t>SLA0</t>
  </si>
  <si>
    <t>Specific leaf area for mature leaves</t>
  </si>
  <si>
    <t>SLA1</t>
  </si>
  <si>
    <t>Age at which specific leaf area = (SLA0+SLA1)/2</t>
  </si>
  <si>
    <t>tSLA</t>
  </si>
  <si>
    <t>Light interception</t>
  </si>
  <si>
    <t>Extinction coefficient for absorption of PAR by canopy</t>
  </si>
  <si>
    <t>k</t>
  </si>
  <si>
    <t xml:space="preserve">Age at canopy cover </t>
  </si>
  <si>
    <t>fullCanAge</t>
  </si>
  <si>
    <t>Maximum proportion of rainfall evaporated from canopy</t>
  </si>
  <si>
    <t>MaxIntcptn</t>
  </si>
  <si>
    <t>LAI for maximum rainfall interception</t>
  </si>
  <si>
    <t>LAImaxIntcptn</t>
  </si>
  <si>
    <t>Production and respiration</t>
  </si>
  <si>
    <t>Canopy quantum efficiency</t>
  </si>
  <si>
    <t>alpha</t>
  </si>
  <si>
    <t>molC/molPAR</t>
  </si>
  <si>
    <t>Ratio NPP/GPP</t>
  </si>
  <si>
    <t>Y</t>
  </si>
  <si>
    <t>Conductance</t>
  </si>
  <si>
    <t>Maximum canopy conductance</t>
  </si>
  <si>
    <t>MaxCond</t>
  </si>
  <si>
    <t>m/s</t>
  </si>
  <si>
    <t>LAI for maximum canopy conductance</t>
  </si>
  <si>
    <t>LAIgcx</t>
  </si>
  <si>
    <t>Defines stomatal response to VPD</t>
  </si>
  <si>
    <t>CoeffCond</t>
  </si>
  <si>
    <t>1/mBar</t>
  </si>
  <si>
    <t>Canopy boundary layer conductance</t>
  </si>
  <si>
    <t>BLcond</t>
  </si>
  <si>
    <t>Wood and stand properties</t>
  </si>
  <si>
    <t>Branch and bark fraction (fracBB)</t>
  </si>
  <si>
    <t>Branch and bark fraction at age 0</t>
  </si>
  <si>
    <t>fracBB0</t>
  </si>
  <si>
    <t>Branch and bark fraction for mature stands</t>
  </si>
  <si>
    <t>fracBB1</t>
  </si>
  <si>
    <t>Age at which fracBB = (fracBB0+fracBB1)/2</t>
  </si>
  <si>
    <t>tBB</t>
  </si>
  <si>
    <t>Basic Density</t>
  </si>
  <si>
    <t>Minimum basic density - for young trees</t>
  </si>
  <si>
    <t>rhoMin</t>
  </si>
  <si>
    <t>t/m3</t>
  </si>
  <si>
    <t>Maximum basic density - for older trees</t>
  </si>
  <si>
    <t>rhoMax</t>
  </si>
  <si>
    <t>Age at which rho = (rhoMin+rhoMax)/2</t>
  </si>
  <si>
    <t>tRho</t>
  </si>
  <si>
    <t>Stem height</t>
  </si>
  <si>
    <t>Constant in the stem height relationship</t>
  </si>
  <si>
    <t>aH</t>
  </si>
  <si>
    <t>Power of DBH in the stem height relationship</t>
  </si>
  <si>
    <t>nHB</t>
  </si>
  <si>
    <t>Power of stocking in the stem height relationship</t>
  </si>
  <si>
    <t>nHN</t>
  </si>
  <si>
    <t>Stem volume</t>
  </si>
  <si>
    <t>Constant in the stem volume relationship</t>
  </si>
  <si>
    <t>aV</t>
  </si>
  <si>
    <t>Power of DBH in the stem volume relationship</t>
  </si>
  <si>
    <t>nVB</t>
  </si>
  <si>
    <t>Power of stocking in the stem volume relationship</t>
  </si>
  <si>
    <t>nVN</t>
  </si>
  <si>
    <t>Conversion factors</t>
  </si>
  <si>
    <t>Intercept of net v. solar radiation relationship</t>
  </si>
  <si>
    <t>Qa</t>
  </si>
  <si>
    <t>W/m2</t>
  </si>
  <si>
    <t>Slope of net v. solar radiation relationship</t>
  </si>
  <si>
    <t>Qb</t>
  </si>
  <si>
    <t>Molecular weight of dry matter</t>
  </si>
  <si>
    <t>gDM_mol</t>
  </si>
  <si>
    <t>gDM/mol</t>
  </si>
  <si>
    <t>Conversion of solar radiation to PAR</t>
  </si>
  <si>
    <t>molPAR_MJ</t>
  </si>
  <si>
    <t>mol/MJ</t>
  </si>
  <si>
    <t>Standard 3PGpjs options</t>
  </si>
  <si>
    <t>no</t>
  </si>
  <si>
    <t>Annual</t>
  </si>
  <si>
    <r>
      <t>Moisture ratio deficit for f</t>
    </r>
    <r>
      <rPr>
        <vertAlign val="subscript"/>
        <sz val="10"/>
        <color indexed="8"/>
        <rFont val="Symbol"/>
        <family val="1"/>
        <charset val="2"/>
      </rPr>
      <t>q</t>
    </r>
    <r>
      <rPr>
        <sz val="10"/>
        <color indexed="8"/>
        <rFont val="Arial"/>
        <family val="2"/>
      </rPr>
      <t xml:space="preserve"> = 0.5 </t>
    </r>
  </si>
  <si>
    <r>
      <t>m</t>
    </r>
    <r>
      <rPr>
        <vertAlign val="superscript"/>
        <sz val="10"/>
        <color indexed="8"/>
        <rFont val="Arial"/>
        <family val="2"/>
      </rPr>
      <t>2</t>
    </r>
    <r>
      <rPr>
        <sz val="10"/>
        <color indexed="8"/>
        <rFont val="Arial"/>
        <family val="2"/>
      </rPr>
      <t>/kg</t>
    </r>
  </si>
  <si>
    <r>
      <t>Interpolate lookups?</t>
    </r>
    <r>
      <rPr>
        <sz val="10"/>
        <rFont val="Arial"/>
        <family val="2"/>
      </rPr>
      <t xml:space="preserve"> (Yes/No)</t>
    </r>
  </si>
  <si>
    <r>
      <t xml:space="preserve">Output frequency </t>
    </r>
    <r>
      <rPr>
        <sz val="10"/>
        <rFont val="Arial"/>
        <family val="2"/>
      </rPr>
      <t>(None, Rotation, Annual or Monthly)</t>
    </r>
  </si>
  <si>
    <r>
      <t xml:space="preserve">Clear output region? </t>
    </r>
    <r>
      <rPr>
        <sz val="10"/>
        <rFont val="Arial"/>
        <family val="2"/>
      </rPr>
      <t>(Yes/No)</t>
    </r>
  </si>
  <si>
    <r>
      <t>Output data</t>
    </r>
    <r>
      <rPr>
        <sz val="10"/>
        <rFont val="Arial"/>
        <family val="2"/>
      </rPr>
      <t xml:space="preserve"> (3-PG names from 3PGpjs_Outputs)</t>
    </r>
  </si>
  <si>
    <t>Trial</t>
  </si>
  <si>
    <t>Minimum canopy conductance</t>
  </si>
  <si>
    <t>MinCond</t>
  </si>
  <si>
    <t>Atmospheric CO2 modifier (fCO2)</t>
  </si>
  <si>
    <t>fCalpha700</t>
  </si>
  <si>
    <t>fCg700</t>
  </si>
  <si>
    <t>Assimialtion enhancement factor at 700 ppm</t>
  </si>
  <si>
    <t>Canopy conductance enhancement factor at 700 ppm</t>
  </si>
  <si>
    <t>SingleSite</t>
  </si>
  <si>
    <t xml:space="preserve">Site : </t>
  </si>
  <si>
    <t>Stand initialisation and site factor data</t>
  </si>
  <si>
    <t>Climate data</t>
  </si>
  <si>
    <t>Rain</t>
  </si>
  <si>
    <t>Solar rad</t>
  </si>
  <si>
    <t>Frost days</t>
  </si>
  <si>
    <t>Stand age</t>
  </si>
  <si>
    <t>LAI</t>
  </si>
  <si>
    <t>January</t>
  </si>
  <si>
    <t>June</t>
  </si>
  <si>
    <t>Latitude =</t>
  </si>
  <si>
    <t>Feb</t>
  </si>
  <si>
    <t>Fertility rating =</t>
  </si>
  <si>
    <t>March</t>
  </si>
  <si>
    <t>End age =</t>
  </si>
  <si>
    <t>April</t>
  </si>
  <si>
    <t xml:space="preserve">Initial WF = </t>
  </si>
  <si>
    <t>Soil class =</t>
  </si>
  <si>
    <t xml:space="preserve">Initial WR = </t>
  </si>
  <si>
    <t>Maximum ASW =</t>
  </si>
  <si>
    <t xml:space="preserve">Initial WS = </t>
  </si>
  <si>
    <t>Minimum ASW =</t>
  </si>
  <si>
    <t>July</t>
  </si>
  <si>
    <t xml:space="preserve">Initial stocking = </t>
  </si>
  <si>
    <t>Aug</t>
  </si>
  <si>
    <t xml:space="preserve">Initial ASW = </t>
  </si>
  <si>
    <t>Sep</t>
  </si>
  <si>
    <t>Oct</t>
  </si>
  <si>
    <t xml:space="preserve">Output frequency : </t>
  </si>
  <si>
    <t>m</t>
  </si>
  <si>
    <t>Nov</t>
  </si>
  <si>
    <t>Dec</t>
  </si>
  <si>
    <t>Year &amp; month</t>
  </si>
  <si>
    <t>Stems</t>
  </si>
  <si>
    <t>Foliage DM</t>
  </si>
  <si>
    <t>Root DM</t>
  </si>
  <si>
    <t>Stem DM</t>
  </si>
  <si>
    <t>Stand volume</t>
  </si>
  <si>
    <t>MAI</t>
  </si>
  <si>
    <t>Mean DBH</t>
  </si>
  <si>
    <t>FR</t>
  </si>
  <si>
    <t>Min ASW</t>
  </si>
  <si>
    <t>Max LAI</t>
  </si>
  <si>
    <t>Initial month =</t>
  </si>
  <si>
    <t>Output details</t>
  </si>
  <si>
    <t xml:space="preserve">Output data : </t>
  </si>
  <si>
    <t>May</t>
  </si>
  <si>
    <t>Age at max LAI</t>
  </si>
  <si>
    <t xml:space="preserve">Output sheet : </t>
  </si>
  <si>
    <t xml:space="preserve">Initial year = </t>
  </si>
  <si>
    <t xml:space="preserve">Output ages : </t>
  </si>
  <si>
    <t>Mean temp.</t>
  </si>
  <si>
    <t xml:space="preserve">Atmospheric CO2 = </t>
  </si>
  <si>
    <t>minASW</t>
  </si>
  <si>
    <t>#Output from 3PGpjs 2.7 / 3-PG vsn 1 Sep2009</t>
  </si>
  <si>
    <t>Description</t>
  </si>
  <si>
    <t>Output name</t>
  </si>
  <si>
    <t>3-PG name</t>
  </si>
  <si>
    <t>Site and management attributes</t>
  </si>
  <si>
    <t>Name of site given on site data sheet</t>
  </si>
  <si>
    <t>Site name</t>
  </si>
  <si>
    <t>siteName</t>
  </si>
  <si>
    <t>Fertility rating</t>
  </si>
  <si>
    <t>Fert. rating</t>
  </si>
  <si>
    <t>Minimum available soil water (for supplemental irrigation)</t>
  </si>
  <si>
    <t>mm</t>
  </si>
  <si>
    <t>Applied irrigation</t>
  </si>
  <si>
    <t>Annual irrigation</t>
  </si>
  <si>
    <t>Irrig</t>
  </si>
  <si>
    <t>mm/ha/yr</t>
  </si>
  <si>
    <t>Stand attributes</t>
  </si>
  <si>
    <t xml:space="preserve">Current stand age </t>
  </si>
  <si>
    <t>StandAge</t>
  </si>
  <si>
    <t>Stand stocking</t>
  </si>
  <si>
    <t>Stocking</t>
  </si>
  <si>
    <t>StemNo</t>
  </si>
  <si>
    <t>trees/ha</t>
  </si>
  <si>
    <t>Stand basal area</t>
  </si>
  <si>
    <t>Basal area</t>
  </si>
  <si>
    <t>BasArea</t>
  </si>
  <si>
    <t>Stand volume, main stem excluding bark</t>
  </si>
  <si>
    <t>StandVol</t>
  </si>
  <si>
    <t>Stand-based mean DBH</t>
  </si>
  <si>
    <t>avDBH</t>
  </si>
  <si>
    <t>cm</t>
  </si>
  <si>
    <t>Current mean annual stem volume increment</t>
  </si>
  <si>
    <t>Peak MAI of stand to the current stand age</t>
  </si>
  <si>
    <t>Peak MAI</t>
  </si>
  <si>
    <t>MAIx</t>
  </si>
  <si>
    <t>Stand age at which MAI peaked</t>
  </si>
  <si>
    <t>Age at peak MAI</t>
  </si>
  <si>
    <t>ageMAIx</t>
  </si>
  <si>
    <t>yr</t>
  </si>
  <si>
    <t>Current canopy LAI (mean annual value if output is annual)</t>
  </si>
  <si>
    <t>Peak canopy LAI up to the current stand age</t>
  </si>
  <si>
    <t>LAIx</t>
  </si>
  <si>
    <t>Stand age at which LAI peaked</t>
  </si>
  <si>
    <t>ageLAIx</t>
  </si>
  <si>
    <t>Fraction of ground area covered by canopy</t>
  </si>
  <si>
    <t>Fract. canopy cover</t>
  </si>
  <si>
    <t>CanCover</t>
  </si>
  <si>
    <t>Biomass pools and canopy attributes</t>
  </si>
  <si>
    <t>Foliage biomass</t>
  </si>
  <si>
    <t>WF</t>
  </si>
  <si>
    <t>tDM/ha</t>
  </si>
  <si>
    <t>Root biomass</t>
  </si>
  <si>
    <t>WR</t>
  </si>
  <si>
    <t>Stem biomass, including branches and bark</t>
  </si>
  <si>
    <t>WS</t>
  </si>
  <si>
    <t>Total biomass</t>
  </si>
  <si>
    <t>Total DM</t>
  </si>
  <si>
    <t>TotalW</t>
  </si>
  <si>
    <t>Total litter fall over run</t>
  </si>
  <si>
    <t>Total litter fall</t>
  </si>
  <si>
    <t>TotalLitter</t>
  </si>
  <si>
    <t>tDM/ha/yr</t>
  </si>
  <si>
    <t>Mean stem biomass per tree</t>
  </si>
  <si>
    <t>Mean stem mass</t>
  </si>
  <si>
    <t>AvStemMass</t>
  </si>
  <si>
    <t>kgDM/tree</t>
  </si>
  <si>
    <t>Fraction of above ground woody biomass as branch and bark</t>
  </si>
  <si>
    <t>Fract. as bark &amp; branch</t>
  </si>
  <si>
    <t>fracBB</t>
  </si>
  <si>
    <t>SLA</t>
  </si>
  <si>
    <t>m/kg</t>
  </si>
  <si>
    <t>Annual outputs</t>
  </si>
  <si>
    <t>Light utilisation efficiency based on above ground biomass</t>
  </si>
  <si>
    <t>Above ground epsilon</t>
  </si>
  <si>
    <t>AbvgrndEpsilon</t>
  </si>
  <si>
    <t>gDM/MJ</t>
  </si>
  <si>
    <t>Light utilisation efficiency based on total biomass</t>
  </si>
  <si>
    <t>Total epsilon</t>
  </si>
  <si>
    <t>TotalEpsilon</t>
  </si>
  <si>
    <t>Annual total evapoptranspiration</t>
  </si>
  <si>
    <t>Annual ET</t>
  </si>
  <si>
    <t>CumEvapTransp</t>
  </si>
  <si>
    <t>mm/yr</t>
  </si>
  <si>
    <t>Annual total transpiration</t>
  </si>
  <si>
    <t>Annual transp.</t>
  </si>
  <si>
    <t>cumTransp</t>
  </si>
  <si>
    <t>Annual total supplemental irrigation</t>
  </si>
  <si>
    <t>Annual suppl. irrigation</t>
  </si>
  <si>
    <t>cumIrrig</t>
  </si>
  <si>
    <t>Annual total net primary production</t>
  </si>
  <si>
    <t>Annual NPP</t>
  </si>
  <si>
    <t>cumNPP</t>
  </si>
  <si>
    <t>Growth modifiers</t>
  </si>
  <si>
    <t>Age dependent modifier</t>
  </si>
  <si>
    <t>fAge</t>
  </si>
  <si>
    <t>VPDdependent modifier</t>
  </si>
  <si>
    <t>fVPD</t>
  </si>
  <si>
    <t>Temperature dependent modifier</t>
  </si>
  <si>
    <t>fTemp</t>
  </si>
  <si>
    <t>fT</t>
  </si>
  <si>
    <t>Frost dependent modifier</t>
  </si>
  <si>
    <t>fFrost</t>
  </si>
  <si>
    <t>Soil water dependent modifier</t>
  </si>
  <si>
    <t>fSW</t>
  </si>
  <si>
    <t>Nutrion dependent modifier</t>
  </si>
  <si>
    <t>fNutr</t>
  </si>
  <si>
    <t>Physiological modifier of canopy conductance</t>
  </si>
  <si>
    <t>Phys. modifier</t>
  </si>
  <si>
    <t>PhysMod</t>
  </si>
  <si>
    <t>Fertility dependent modifier of root biomass partitioning</t>
  </si>
  <si>
    <t>Biomass production and partitioning</t>
  </si>
  <si>
    <t>Net primary production</t>
  </si>
  <si>
    <t>Monthly NPP</t>
  </si>
  <si>
    <t>NPP</t>
  </si>
  <si>
    <t>tDM/ha/month</t>
  </si>
  <si>
    <t>Canopy quantum efficiency after application of modifiers</t>
  </si>
  <si>
    <t>Canopy alpha</t>
  </si>
  <si>
    <t>alphaC</t>
  </si>
  <si>
    <t>mol/mol</t>
  </si>
  <si>
    <t>Fraction of NPP partitioned to roots</t>
  </si>
  <si>
    <t>pR</t>
  </si>
  <si>
    <t>Fraction of NPP partitioned to stems</t>
  </si>
  <si>
    <t>pS</t>
  </si>
  <si>
    <t>Fraction of NPP partitioned to foliage</t>
  </si>
  <si>
    <t>pF</t>
  </si>
  <si>
    <t>Ratio of foliage to stem biomass partitioning</t>
  </si>
  <si>
    <t>pFS</t>
  </si>
  <si>
    <t>Leaf litterfall rate</t>
  </si>
  <si>
    <t>Litter fall rate</t>
  </si>
  <si>
    <t>Littfall</t>
  </si>
  <si>
    <t>per month</t>
  </si>
  <si>
    <t>Litter fall in current period</t>
  </si>
  <si>
    <t>Litter fall</t>
  </si>
  <si>
    <t>delLitter</t>
  </si>
  <si>
    <t>Stem mortality</t>
  </si>
  <si>
    <t>Maximum tree stem mass at current stocking</t>
  </si>
  <si>
    <t>wSmax</t>
  </si>
  <si>
    <t>Number of stems dying</t>
  </si>
  <si>
    <t>Dying stems</t>
  </si>
  <si>
    <t>delStemNo</t>
  </si>
  <si>
    <t>Water use</t>
  </si>
  <si>
    <t>Available soil water</t>
  </si>
  <si>
    <t>ASW</t>
  </si>
  <si>
    <t>Monthly supplemental irrigation (to maintain minASW)</t>
  </si>
  <si>
    <t>Monthly supp. irrig.</t>
  </si>
  <si>
    <t>monthlyIrrig</t>
  </si>
  <si>
    <t>mm/month</t>
  </si>
  <si>
    <t>Monthly evapoptranspiration rate</t>
  </si>
  <si>
    <t>Monthly ET</t>
  </si>
  <si>
    <t>EvapTransp</t>
  </si>
  <si>
    <t>Monthly transpiration rate</t>
  </si>
  <si>
    <t>Monthly transp.</t>
  </si>
  <si>
    <t>Transp</t>
  </si>
  <si>
    <t>Canopy conductance</t>
  </si>
  <si>
    <t>CanCond</t>
  </si>
  <si>
    <t>Climatic factors</t>
  </si>
  <si>
    <t>Day length (sunrise to sunset)</t>
  </si>
  <si>
    <t>Daylength</t>
  </si>
  <si>
    <t>DayLength</t>
  </si>
  <si>
    <t>s/day</t>
  </si>
  <si>
    <t>Mean number of frost days per month</t>
  </si>
  <si>
    <t>FrostDays</t>
  </si>
  <si>
    <t>days/month</t>
  </si>
  <si>
    <t>Mean daily incident solar radiation</t>
  </si>
  <si>
    <t>Solar rad.</t>
  </si>
  <si>
    <t>SolarRad</t>
  </si>
  <si>
    <t>Mean daily temperature</t>
  </si>
  <si>
    <t>Tav</t>
  </si>
  <si>
    <t>Mean daily VPD</t>
  </si>
  <si>
    <t>VPD</t>
  </si>
  <si>
    <t>mBar</t>
  </si>
  <si>
    <t>Mean monthly rainfall</t>
  </si>
  <si>
    <t>Rainfall</t>
  </si>
  <si>
    <r>
      <t>Names and description of 3PG</t>
    </r>
    <r>
      <rPr>
        <b/>
        <sz val="16"/>
        <color indexed="18"/>
        <rFont val="Times New Roman"/>
        <family val="1"/>
      </rPr>
      <t>PJS</t>
    </r>
    <r>
      <rPr>
        <b/>
        <sz val="20"/>
        <color indexed="18"/>
        <rFont val="Times New Roman"/>
        <family val="1"/>
      </rPr>
      <t xml:space="preserve"> output variables </t>
    </r>
  </si>
  <si>
    <r>
      <t>o</t>
    </r>
    <r>
      <rPr>
        <sz val="10"/>
        <rFont val="Times New Roman"/>
        <family val="1"/>
      </rPr>
      <t>C</t>
    </r>
  </si>
  <si>
    <t>Optional parameter block</t>
  </si>
  <si>
    <t>m2/ha</t>
  </si>
  <si>
    <t>m3/ha</t>
  </si>
  <si>
    <t>m3/ha/yr</t>
  </si>
  <si>
    <t>E. cladocalyx</t>
  </si>
  <si>
    <t>E. maculata</t>
  </si>
  <si>
    <t>MJ /m2/day</t>
  </si>
  <si>
    <t xml:space="preserve">Run type : </t>
  </si>
  <si>
    <t>Date planted =</t>
  </si>
  <si>
    <t>2000/1</t>
  </si>
  <si>
    <t>Parameters</t>
  </si>
  <si>
    <t xml:space="preserve">Species : </t>
  </si>
  <si>
    <t>Silvicultural events</t>
  </si>
  <si>
    <t>Penman transp.</t>
  </si>
  <si>
    <t>2001 - Jan</t>
  </si>
  <si>
    <t>Frost Days</t>
  </si>
  <si>
    <t>Jan</t>
  </si>
  <si>
    <t>E. globulus2</t>
  </si>
  <si>
    <t>P. radiata2</t>
  </si>
  <si>
    <t>E. nitens</t>
  </si>
  <si>
    <t>E. nitens2</t>
  </si>
  <si>
    <t>P. ponderosa</t>
  </si>
  <si>
    <t>P. ponderosa2</t>
  </si>
  <si>
    <t>P. taeda</t>
  </si>
  <si>
    <t>P. elliottii</t>
  </si>
  <si>
    <t>Fontes et al 2006)</t>
  </si>
  <si>
    <t>Rodriguez et al. 2002</t>
  </si>
  <si>
    <t>(Perez-Cruzado)</t>
  </si>
  <si>
    <t>(Rodriguez)</t>
  </si>
  <si>
    <t>(Law)</t>
  </si>
  <si>
    <t>(Bryars et al 2014)</t>
  </si>
  <si>
    <t>(G-B 2013)</t>
  </si>
  <si>
    <r>
      <t xml:space="preserve">Standard 3PG parameters </t>
    </r>
    <r>
      <rPr>
        <b/>
        <sz val="10"/>
        <color indexed="8"/>
        <rFont val="Arial"/>
        <family val="2"/>
      </rPr>
      <t>(3PGpjs vsn 2.6, 3PG vsn 1 September 2009)</t>
    </r>
  </si>
  <si>
    <t>Douglas fir1</t>
  </si>
  <si>
    <t>P. radiata3</t>
  </si>
  <si>
    <t>−7</t>
  </si>
  <si>
    <t>−60</t>
  </si>
  <si>
    <t>P. contorta</t>
  </si>
  <si>
    <t>Douglas fir2</t>
  </si>
  <si>
    <t>Stand development for FOR599</t>
  </si>
  <si>
    <t>2000 - Jan</t>
  </si>
  <si>
    <t>2000 - Feb</t>
  </si>
  <si>
    <t>2000 - Mar</t>
  </si>
  <si>
    <t>2000 - Apr</t>
  </si>
  <si>
    <t>2000 - May</t>
  </si>
  <si>
    <t>2000 - Jun</t>
  </si>
  <si>
    <t>2000 - Jul</t>
  </si>
  <si>
    <t>2000 - Aug</t>
  </si>
  <si>
    <t>2000 - Sep</t>
  </si>
  <si>
    <t>2000 - Oct</t>
  </si>
  <si>
    <t>2000 - Nov</t>
  </si>
  <si>
    <t>2000 - Dec</t>
  </si>
  <si>
    <t>Transp, fSW, asw</t>
  </si>
  <si>
    <t>soil volume</t>
  </si>
  <si>
    <t>radius</t>
  </si>
  <si>
    <t>depth</t>
  </si>
  <si>
    <t>m3</t>
  </si>
  <si>
    <t>assume 3 x 3 m spacing and 2 m soil depth</t>
  </si>
  <si>
    <t>original</t>
  </si>
  <si>
    <t>no CV</t>
  </si>
  <si>
    <t>CV use 50% of ASW</t>
  </si>
  <si>
    <t>Radius (cm)</t>
  </si>
  <si>
    <t>Vol (m3)</t>
  </si>
  <si>
    <t>C</t>
  </si>
  <si>
    <t>AWHC</t>
  </si>
  <si>
    <t>vol (mm of water)</t>
  </si>
  <si>
    <t>Max Area</t>
  </si>
  <si>
    <t>Max Depth</t>
  </si>
  <si>
    <t>m2</t>
  </si>
  <si>
    <t>vol_frac</t>
  </si>
  <si>
    <t>stemNo, WF, WS, standVol, avDBH, LAI</t>
  </si>
  <si>
    <t>AGB</t>
  </si>
  <si>
    <t>"Available" Rain</t>
  </si>
  <si>
    <t>Clay</t>
  </si>
  <si>
    <t>Mg/ha</t>
  </si>
  <si>
    <t>g/tree</t>
  </si>
  <si>
    <t>Vertical Lenght (cm)</t>
  </si>
  <si>
    <t>area_frac</t>
  </si>
  <si>
    <t>RxL</t>
  </si>
  <si>
    <t>FOR526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</si>
</sst>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_-* #,##0.00_-;\-* #,##0.00_-;_-* &quot;-&quot;??_-;_-@_-"/>
    <numFmt numFmtId="166" formatCode="_(* #,##0.00000_);_(* \(#,##0.00000\);_(* &quot;-&quot;??_);_(@_)"/>
    <numFmt numFmtId="167" formatCode="_(* #,##0.000_);_(* \(#,##0.000\);_(* &quot;-&quot;??_);_(@_)"/>
  </numFmts>
  <fonts count="5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8"/>
      <color indexed="8"/>
      <name val="Arial"/>
      <family val="2"/>
    </font>
    <font>
      <b/>
      <sz val="10"/>
      <color indexed="8"/>
      <name val="Arial"/>
      <family val="2"/>
    </font>
    <font>
      <b/>
      <sz val="18"/>
      <color indexed="18"/>
      <name val="Arial"/>
      <family val="2"/>
    </font>
    <font>
      <b/>
      <sz val="12"/>
      <color indexed="10"/>
      <name val="Arial"/>
      <family val="2"/>
    </font>
    <font>
      <b/>
      <sz val="12"/>
      <color indexed="18"/>
      <name val="Arial"/>
      <family val="2"/>
    </font>
    <font>
      <b/>
      <sz val="10"/>
      <color indexed="18"/>
      <name val="Arial"/>
      <family val="2"/>
    </font>
    <font>
      <b/>
      <sz val="12"/>
      <color indexed="16"/>
      <name val="Arial"/>
      <family val="2"/>
    </font>
    <font>
      <b/>
      <sz val="10"/>
      <color indexed="16"/>
      <name val="Arial"/>
      <family val="2"/>
    </font>
    <font>
      <vertAlign val="subscript"/>
      <sz val="10"/>
      <color indexed="8"/>
      <name val="Symbol"/>
      <family val="1"/>
      <charset val="2"/>
    </font>
    <font>
      <vertAlign val="superscript"/>
      <sz val="10"/>
      <color indexed="8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b/>
      <u/>
      <sz val="12"/>
      <color indexed="58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b/>
      <sz val="12"/>
      <color indexed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name val="Times New Roman"/>
      <family val="1"/>
    </font>
    <font>
      <b/>
      <sz val="16"/>
      <color indexed="18"/>
      <name val="Times New Roman"/>
      <family val="1"/>
    </font>
    <font>
      <b/>
      <sz val="20"/>
      <color indexed="18"/>
      <name val="Times New Roman"/>
      <family val="1"/>
    </font>
    <font>
      <b/>
      <sz val="14"/>
      <color indexed="18"/>
      <name val="Times New Roman"/>
      <family val="1"/>
    </font>
    <font>
      <b/>
      <i/>
      <sz val="12"/>
      <color indexed="10"/>
      <name val="Times New Roman"/>
      <family val="1"/>
    </font>
    <font>
      <vertAlign val="superscript"/>
      <sz val="10"/>
      <name val="Times New Roman"/>
      <family val="1"/>
    </font>
    <font>
      <sz val="1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8"/>
      <name val="Arial"/>
      <family val="2"/>
    </font>
    <font>
      <sz val="12"/>
      <color indexed="8"/>
      <name val="Arial"/>
      <family val="2"/>
    </font>
    <font>
      <b/>
      <sz val="14"/>
      <color indexed="18"/>
      <name val="Arial"/>
      <family val="2"/>
    </font>
    <font>
      <sz val="10"/>
      <color indexed="18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45">
    <xf numFmtId="0" fontId="0" fillId="0" borderId="0"/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5" borderId="0" applyNumberFormat="0" applyBorder="0" applyAlignment="0" applyProtection="0"/>
    <xf numFmtId="0" fontId="20" fillId="8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9" borderId="0" applyNumberFormat="0" applyBorder="0" applyAlignment="0" applyProtection="0"/>
    <xf numFmtId="0" fontId="22" fillId="3" borderId="0" applyNumberFormat="0" applyBorder="0" applyAlignment="0" applyProtection="0"/>
    <xf numFmtId="0" fontId="23" fillId="20" borderId="1" applyNumberFormat="0" applyAlignment="0" applyProtection="0"/>
    <xf numFmtId="0" fontId="24" fillId="21" borderId="2" applyNumberFormat="0" applyAlignment="0" applyProtection="0"/>
    <xf numFmtId="0" fontId="25" fillId="0" borderId="0" applyNumberFormat="0" applyFill="0" applyBorder="0" applyAlignment="0" applyProtection="0"/>
    <xf numFmtId="0" fontId="26" fillId="4" borderId="0" applyNumberFormat="0" applyBorder="0" applyAlignment="0" applyProtection="0"/>
    <xf numFmtId="0" fontId="27" fillId="0" borderId="3" applyNumberFormat="0" applyFill="0" applyAlignment="0" applyProtection="0"/>
    <xf numFmtId="0" fontId="28" fillId="0" borderId="4" applyNumberFormat="0" applyFill="0" applyAlignment="0" applyProtection="0"/>
    <xf numFmtId="0" fontId="29" fillId="0" borderId="5" applyNumberFormat="0" applyFill="0" applyAlignment="0" applyProtection="0"/>
    <xf numFmtId="0" fontId="29" fillId="0" borderId="0" applyNumberFormat="0" applyFill="0" applyBorder="0" applyAlignment="0" applyProtection="0"/>
    <xf numFmtId="0" fontId="30" fillId="7" borderId="1" applyNumberFormat="0" applyAlignment="0" applyProtection="0"/>
    <xf numFmtId="0" fontId="31" fillId="0" borderId="6" applyNumberFormat="0" applyFill="0" applyAlignment="0" applyProtection="0"/>
    <xf numFmtId="0" fontId="32" fillId="22" borderId="0" applyNumberFormat="0" applyBorder="0" applyAlignment="0" applyProtection="0"/>
    <xf numFmtId="0" fontId="51" fillId="0" borderId="0"/>
    <xf numFmtId="0" fontId="7" fillId="0" borderId="0"/>
    <xf numFmtId="0" fontId="6" fillId="23" borderId="7" applyNumberFormat="0" applyFont="0" applyAlignment="0" applyProtection="0"/>
    <xf numFmtId="0" fontId="33" fillId="20" borderId="8" applyNumberFormat="0" applyAlignment="0" applyProtection="0"/>
    <xf numFmtId="0" fontId="50" fillId="0" borderId="9" applyBorder="0" applyAlignment="0"/>
    <xf numFmtId="0" fontId="34" fillId="0" borderId="0" applyNumberFormat="0" applyFill="0" applyBorder="0" applyAlignment="0" applyProtection="0"/>
    <xf numFmtId="0" fontId="35" fillId="0" borderId="10" applyNumberFormat="0" applyFill="0" applyAlignment="0" applyProtection="0"/>
    <xf numFmtId="0" fontId="36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3" fillId="0" borderId="0"/>
    <xf numFmtId="0" fontId="52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3" fillId="0" borderId="0"/>
    <xf numFmtId="0" fontId="2" fillId="0" borderId="0"/>
    <xf numFmtId="9" fontId="6" fillId="0" borderId="0" applyFont="0" applyFill="0" applyBorder="0" applyAlignment="0" applyProtection="0"/>
    <xf numFmtId="0" fontId="6" fillId="0" borderId="0"/>
    <xf numFmtId="0" fontId="1" fillId="0" borderId="0"/>
    <xf numFmtId="165" fontId="6" fillId="0" borderId="0" applyFont="0" applyFill="0" applyBorder="0" applyAlignment="0" applyProtection="0"/>
    <xf numFmtId="0" fontId="1" fillId="0" borderId="0"/>
  </cellStyleXfs>
  <cellXfs count="198">
    <xf numFmtId="0" fontId="0" fillId="0" borderId="0" xfId="0"/>
    <xf numFmtId="0" fontId="8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Border="1" applyAlignment="1">
      <alignment horizontal="right"/>
    </xf>
    <xf numFmtId="0" fontId="8" fillId="0" borderId="0" xfId="0" applyNumberFormat="1" applyFon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 applyAlignment="1">
      <alignment horizontal="left" vertical="center"/>
    </xf>
    <xf numFmtId="0" fontId="13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left"/>
    </xf>
    <xf numFmtId="0" fontId="0" fillId="0" borderId="0" xfId="0" applyBorder="1"/>
    <xf numFmtId="0" fontId="37" fillId="26" borderId="19" xfId="0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42" fillId="0" borderId="0" xfId="0" applyFont="1" applyFill="1" applyBorder="1" applyAlignment="1">
      <alignment vertical="center" wrapText="1"/>
    </xf>
    <xf numFmtId="0" fontId="43" fillId="0" borderId="0" xfId="0" applyFont="1" applyFill="1" applyBorder="1" applyAlignment="1">
      <alignment vertical="center" wrapText="1"/>
    </xf>
    <xf numFmtId="0" fontId="42" fillId="0" borderId="0" xfId="0" applyFont="1" applyFill="1" applyBorder="1" applyAlignment="1">
      <alignment horizontal="center" vertical="center" wrapText="1"/>
    </xf>
    <xf numFmtId="0" fontId="44" fillId="24" borderId="12" xfId="0" applyFont="1" applyFill="1" applyBorder="1" applyAlignment="1">
      <alignment vertical="center"/>
    </xf>
    <xf numFmtId="0" fontId="46" fillId="24" borderId="13" xfId="0" applyFont="1" applyFill="1" applyBorder="1" applyAlignment="1">
      <alignment horizontal="left" vertical="center"/>
    </xf>
    <xf numFmtId="0" fontId="44" fillId="24" borderId="13" xfId="0" applyFont="1" applyFill="1" applyBorder="1" applyAlignment="1">
      <alignment horizontal="center" vertical="center"/>
    </xf>
    <xf numFmtId="0" fontId="44" fillId="24" borderId="14" xfId="0" applyFont="1" applyFill="1" applyBorder="1" applyAlignment="1">
      <alignment horizontal="center" vertical="center"/>
    </xf>
    <xf numFmtId="0" fontId="44" fillId="0" borderId="0" xfId="0" applyFont="1" applyFill="1" applyBorder="1" applyAlignment="1">
      <alignment vertical="center"/>
    </xf>
    <xf numFmtId="0" fontId="47" fillId="24" borderId="18" xfId="0" applyFont="1" applyFill="1" applyBorder="1" applyAlignment="1">
      <alignment vertical="center" wrapText="1"/>
    </xf>
    <xf numFmtId="0" fontId="47" fillId="24" borderId="19" xfId="0" applyFont="1" applyFill="1" applyBorder="1" applyAlignment="1">
      <alignment vertical="center" wrapText="1"/>
    </xf>
    <xf numFmtId="0" fontId="47" fillId="24" borderId="19" xfId="0" applyFont="1" applyFill="1" applyBorder="1" applyAlignment="1">
      <alignment horizontal="center" vertical="center" wrapText="1"/>
    </xf>
    <xf numFmtId="0" fontId="47" fillId="24" borderId="20" xfId="0" applyFont="1" applyFill="1" applyBorder="1" applyAlignment="1">
      <alignment horizontal="center" vertical="center" wrapText="1"/>
    </xf>
    <xf numFmtId="0" fontId="47" fillId="0" borderId="0" xfId="0" applyFont="1" applyFill="1" applyBorder="1" applyAlignment="1">
      <alignment vertical="center" wrapText="1"/>
    </xf>
    <xf numFmtId="0" fontId="48" fillId="24" borderId="9" xfId="0" applyFont="1" applyFill="1" applyBorder="1" applyAlignment="1">
      <alignment vertical="center" wrapText="1"/>
    </xf>
    <xf numFmtId="0" fontId="48" fillId="24" borderId="0" xfId="0" applyFont="1" applyFill="1" applyBorder="1" applyAlignment="1">
      <alignment vertical="center" wrapText="1"/>
    </xf>
    <xf numFmtId="0" fontId="48" fillId="24" borderId="0" xfId="0" applyFont="1" applyFill="1" applyBorder="1" applyAlignment="1">
      <alignment horizontal="center" vertical="center" wrapText="1"/>
    </xf>
    <xf numFmtId="0" fontId="48" fillId="24" borderId="11" xfId="0" applyFont="1" applyFill="1" applyBorder="1" applyAlignment="1">
      <alignment horizontal="center" vertical="center" wrapText="1"/>
    </xf>
    <xf numFmtId="0" fontId="48" fillId="0" borderId="0" xfId="0" applyFont="1" applyFill="1" applyBorder="1" applyAlignment="1">
      <alignment vertical="center" wrapText="1"/>
    </xf>
    <xf numFmtId="0" fontId="42" fillId="24" borderId="9" xfId="0" applyFont="1" applyFill="1" applyBorder="1" applyAlignment="1">
      <alignment vertical="center" wrapText="1"/>
    </xf>
    <xf numFmtId="0" fontId="43" fillId="24" borderId="0" xfId="0" applyFont="1" applyFill="1" applyBorder="1" applyAlignment="1">
      <alignment vertical="center" wrapText="1"/>
    </xf>
    <xf numFmtId="0" fontId="42" fillId="24" borderId="0" xfId="0" applyFont="1" applyFill="1" applyBorder="1" applyAlignment="1">
      <alignment vertical="center" wrapText="1"/>
    </xf>
    <xf numFmtId="0" fontId="42" fillId="24" borderId="0" xfId="0" applyFont="1" applyFill="1" applyBorder="1" applyAlignment="1">
      <alignment horizontal="center" vertical="center" wrapText="1"/>
    </xf>
    <xf numFmtId="0" fontId="42" fillId="24" borderId="11" xfId="0" applyFont="1" applyFill="1" applyBorder="1" applyAlignment="1">
      <alignment horizontal="center" vertical="center" wrapText="1"/>
    </xf>
    <xf numFmtId="0" fontId="42" fillId="24" borderId="9" xfId="0" applyFont="1" applyFill="1" applyBorder="1" applyAlignment="1">
      <alignment vertical="top" wrapText="1"/>
    </xf>
    <xf numFmtId="0" fontId="43" fillId="24" borderId="0" xfId="0" applyFont="1" applyFill="1" applyBorder="1" applyAlignment="1">
      <alignment vertical="top" wrapText="1"/>
    </xf>
    <xf numFmtId="0" fontId="42" fillId="24" borderId="0" xfId="0" applyFont="1" applyFill="1" applyBorder="1" applyAlignment="1">
      <alignment vertical="top" wrapText="1"/>
    </xf>
    <xf numFmtId="0" fontId="42" fillId="24" borderId="0" xfId="0" applyFont="1" applyFill="1" applyBorder="1" applyAlignment="1">
      <alignment horizontal="center" vertical="top" wrapText="1"/>
    </xf>
    <xf numFmtId="0" fontId="42" fillId="24" borderId="11" xfId="0" applyFont="1" applyFill="1" applyBorder="1" applyAlignment="1">
      <alignment horizontal="center" vertical="top" wrapText="1"/>
    </xf>
    <xf numFmtId="0" fontId="49" fillId="24" borderId="11" xfId="0" applyFont="1" applyFill="1" applyBorder="1" applyAlignment="1">
      <alignment horizontal="center" vertical="center" wrapText="1"/>
    </xf>
    <xf numFmtId="0" fontId="42" fillId="24" borderId="15" xfId="0" applyFont="1" applyFill="1" applyBorder="1" applyAlignment="1">
      <alignment vertical="center" wrapText="1"/>
    </xf>
    <xf numFmtId="0" fontId="43" fillId="24" borderId="16" xfId="0" applyFont="1" applyFill="1" applyBorder="1" applyAlignment="1">
      <alignment vertical="center" wrapText="1"/>
    </xf>
    <xf numFmtId="0" fontId="42" fillId="24" borderId="16" xfId="0" applyFont="1" applyFill="1" applyBorder="1" applyAlignment="1">
      <alignment vertical="center" wrapText="1"/>
    </xf>
    <xf numFmtId="0" fontId="42" fillId="24" borderId="16" xfId="0" applyFont="1" applyFill="1" applyBorder="1" applyAlignment="1">
      <alignment horizontal="center" vertical="center" wrapText="1"/>
    </xf>
    <xf numFmtId="0" fontId="42" fillId="24" borderId="17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0" xfId="0"/>
    <xf numFmtId="0" fontId="0" fillId="0" borderId="0" xfId="0" applyAlignment="1">
      <alignment vertical="center"/>
    </xf>
    <xf numFmtId="0" fontId="0" fillId="25" borderId="9" xfId="0" applyFill="1" applyBorder="1"/>
    <xf numFmtId="1" fontId="0" fillId="0" borderId="0" xfId="0" applyNumberFormat="1" applyAlignment="1">
      <alignment horizontal="center"/>
    </xf>
    <xf numFmtId="0" fontId="6" fillId="0" borderId="0" xfId="38" applyFont="1"/>
    <xf numFmtId="0" fontId="37" fillId="0" borderId="0" xfId="38" applyFont="1" applyAlignment="1">
      <alignment vertical="top"/>
    </xf>
    <xf numFmtId="0" fontId="0" fillId="25" borderId="9" xfId="0" applyNumberFormat="1" applyFill="1" applyBorder="1"/>
    <xf numFmtId="0" fontId="14" fillId="25" borderId="0" xfId="38" applyFont="1" applyFill="1" applyBorder="1" applyAlignment="1">
      <alignment horizontal="right"/>
    </xf>
    <xf numFmtId="0" fontId="0" fillId="25" borderId="0" xfId="0" applyNumberFormat="1" applyFill="1" applyBorder="1" applyAlignment="1">
      <alignment horizontal="left"/>
    </xf>
    <xf numFmtId="0" fontId="37" fillId="0" borderId="0" xfId="38" applyFont="1" applyAlignment="1">
      <alignment vertical="center"/>
    </xf>
    <xf numFmtId="0" fontId="19" fillId="25" borderId="9" xfId="0" applyFont="1" applyFill="1" applyBorder="1"/>
    <xf numFmtId="0" fontId="37" fillId="0" borderId="0" xfId="38" applyFont="1"/>
    <xf numFmtId="0" fontId="6" fillId="25" borderId="9" xfId="38" applyFont="1" applyFill="1" applyBorder="1"/>
    <xf numFmtId="0" fontId="6" fillId="27" borderId="0" xfId="38" applyFont="1" applyFill="1" applyBorder="1"/>
    <xf numFmtId="0" fontId="37" fillId="27" borderId="0" xfId="0" applyNumberFormat="1" applyFont="1" applyFill="1" applyBorder="1" applyAlignment="1">
      <alignment horizontal="center" vertical="center"/>
    </xf>
    <xf numFmtId="0" fontId="6" fillId="27" borderId="9" xfId="38" applyFont="1" applyFill="1" applyBorder="1"/>
    <xf numFmtId="0" fontId="14" fillId="27" borderId="0" xfId="38" applyFont="1" applyFill="1" applyBorder="1" applyAlignment="1">
      <alignment horizontal="right" vertical="top"/>
    </xf>
    <xf numFmtId="0" fontId="6" fillId="27" borderId="0" xfId="38" applyFont="1" applyFill="1" applyBorder="1" applyAlignment="1">
      <alignment horizontal="left"/>
    </xf>
    <xf numFmtId="0" fontId="54" fillId="0" borderId="0" xfId="38" applyFont="1" applyAlignment="1">
      <alignment vertical="center"/>
    </xf>
    <xf numFmtId="0" fontId="19" fillId="0" borderId="0" xfId="38" applyFont="1"/>
    <xf numFmtId="0" fontId="6" fillId="0" borderId="0" xfId="38" applyFont="1" applyFill="1" applyBorder="1"/>
    <xf numFmtId="0" fontId="0" fillId="25" borderId="11" xfId="0" applyNumberFormat="1" applyFill="1" applyBorder="1" applyAlignment="1">
      <alignment horizontal="left"/>
    </xf>
    <xf numFmtId="0" fontId="6" fillId="24" borderId="0" xfId="38" applyFont="1" applyFill="1" applyBorder="1"/>
    <xf numFmtId="0" fontId="38" fillId="27" borderId="0" xfId="0" applyFont="1" applyFill="1" applyBorder="1" applyAlignment="1">
      <alignment horizontal="left" vertical="center"/>
    </xf>
    <xf numFmtId="0" fontId="0" fillId="24" borderId="0" xfId="0" applyNumberFormat="1" applyFill="1" applyBorder="1" applyAlignment="1">
      <alignment horizontal="center" vertical="center"/>
    </xf>
    <xf numFmtId="1" fontId="39" fillId="27" borderId="9" xfId="38" applyNumberFormat="1" applyFont="1" applyFill="1" applyBorder="1" applyAlignment="1">
      <alignment horizontal="left"/>
    </xf>
    <xf numFmtId="0" fontId="6" fillId="27" borderId="11" xfId="38" applyFont="1" applyFill="1" applyBorder="1"/>
    <xf numFmtId="1" fontId="39" fillId="0" borderId="0" xfId="38" applyNumberFormat="1" applyFont="1" applyAlignment="1">
      <alignment horizontal="left"/>
    </xf>
    <xf numFmtId="0" fontId="0" fillId="24" borderId="0" xfId="0" applyNumberFormat="1" applyFill="1" applyBorder="1" applyAlignment="1">
      <alignment horizontal="left"/>
    </xf>
    <xf numFmtId="0" fontId="6" fillId="27" borderId="0" xfId="38" applyFont="1" applyFill="1" applyBorder="1" applyAlignment="1">
      <alignment horizontal="center"/>
    </xf>
    <xf numFmtId="0" fontId="6" fillId="27" borderId="16" xfId="38" applyFont="1" applyFill="1" applyBorder="1"/>
    <xf numFmtId="0" fontId="6" fillId="27" borderId="17" xfId="38" applyFont="1" applyFill="1" applyBorder="1"/>
    <xf numFmtId="16" fontId="0" fillId="0" borderId="0" xfId="0" applyNumberFormat="1" applyAlignment="1">
      <alignment horizontal="left"/>
    </xf>
    <xf numFmtId="0" fontId="40" fillId="24" borderId="0" xfId="0" applyFont="1" applyFill="1" applyBorder="1" applyAlignment="1">
      <alignment horizontal="left"/>
    </xf>
    <xf numFmtId="0" fontId="40" fillId="24" borderId="0" xfId="0" applyFont="1" applyFill="1" applyBorder="1" applyAlignment="1">
      <alignment horizontal="left" vertical="center"/>
    </xf>
    <xf numFmtId="0" fontId="6" fillId="27" borderId="15" xfId="38" applyFont="1" applyFill="1" applyBorder="1"/>
    <xf numFmtId="0" fontId="14" fillId="27" borderId="16" xfId="38" applyFont="1" applyFill="1" applyBorder="1" applyAlignment="1">
      <alignment horizontal="right" vertical="top"/>
    </xf>
    <xf numFmtId="0" fontId="6" fillId="27" borderId="16" xfId="38" applyFont="1" applyFill="1" applyBorder="1" applyAlignment="1">
      <alignment horizontal="center"/>
    </xf>
    <xf numFmtId="0" fontId="0" fillId="27" borderId="11" xfId="0" applyFill="1" applyBorder="1"/>
    <xf numFmtId="0" fontId="38" fillId="25" borderId="13" xfId="0" applyNumberFormat="1" applyFont="1" applyFill="1" applyBorder="1" applyAlignment="1">
      <alignment horizontal="center" vertical="center"/>
    </xf>
    <xf numFmtId="0" fontId="0" fillId="25" borderId="13" xfId="0" applyNumberFormat="1" applyFill="1" applyBorder="1" applyAlignment="1">
      <alignment horizontal="center" vertical="center"/>
    </xf>
    <xf numFmtId="0" fontId="0" fillId="25" borderId="14" xfId="0" applyNumberFormat="1" applyFill="1" applyBorder="1" applyAlignment="1">
      <alignment horizontal="center" vertical="center"/>
    </xf>
    <xf numFmtId="0" fontId="6" fillId="27" borderId="11" xfId="38" applyFont="1" applyFill="1" applyBorder="1" applyAlignment="1">
      <alignment horizontal="left"/>
    </xf>
    <xf numFmtId="0" fontId="38" fillId="25" borderId="12" xfId="0" applyNumberFormat="1" applyFont="1" applyFill="1" applyBorder="1" applyAlignment="1">
      <alignment horizontal="left" vertical="center" indent="1"/>
    </xf>
    <xf numFmtId="0" fontId="8" fillId="25" borderId="13" xfId="0" applyNumberFormat="1" applyFont="1" applyFill="1" applyBorder="1" applyAlignment="1">
      <alignment horizontal="center" vertical="center"/>
    </xf>
    <xf numFmtId="0" fontId="8" fillId="25" borderId="0" xfId="38" applyFont="1" applyFill="1" applyBorder="1"/>
    <xf numFmtId="0" fontId="10" fillId="25" borderId="0" xfId="38" applyFont="1" applyFill="1" applyBorder="1"/>
    <xf numFmtId="0" fontId="41" fillId="25" borderId="0" xfId="38" applyFont="1" applyFill="1" applyBorder="1" applyAlignment="1">
      <alignment vertical="top"/>
    </xf>
    <xf numFmtId="0" fontId="41" fillId="25" borderId="0" xfId="38" applyFont="1" applyFill="1" applyBorder="1" applyAlignment="1">
      <alignment vertical="center"/>
    </xf>
    <xf numFmtId="0" fontId="8" fillId="25" borderId="0" xfId="0" applyFont="1" applyFill="1" applyBorder="1" applyAlignment="1">
      <alignment vertical="center"/>
    </xf>
    <xf numFmtId="0" fontId="8" fillId="25" borderId="0" xfId="0" applyFont="1" applyFill="1" applyBorder="1"/>
    <xf numFmtId="0" fontId="41" fillId="25" borderId="0" xfId="38" applyFont="1" applyFill="1" applyBorder="1"/>
    <xf numFmtId="1" fontId="39" fillId="25" borderId="15" xfId="38" applyNumberFormat="1" applyFont="1" applyFill="1" applyBorder="1" applyAlignment="1">
      <alignment horizontal="left"/>
    </xf>
    <xf numFmtId="1" fontId="39" fillId="25" borderId="16" xfId="38" applyNumberFormat="1" applyFont="1" applyFill="1" applyBorder="1" applyAlignment="1">
      <alignment horizontal="left"/>
    </xf>
    <xf numFmtId="1" fontId="55" fillId="25" borderId="16" xfId="38" applyNumberFormat="1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0" fillId="24" borderId="13" xfId="0" applyNumberFormat="1" applyFill="1" applyBorder="1" applyAlignment="1">
      <alignment horizontal="center" vertical="center"/>
    </xf>
    <xf numFmtId="0" fontId="40" fillId="24" borderId="13" xfId="0" applyFont="1" applyFill="1" applyBorder="1" applyAlignment="1">
      <alignment horizontal="left"/>
    </xf>
    <xf numFmtId="0" fontId="7" fillId="24" borderId="15" xfId="38" applyFont="1" applyFill="1" applyBorder="1" applyAlignment="1">
      <alignment horizontal="center" vertical="center"/>
    </xf>
    <xf numFmtId="0" fontId="8" fillId="24" borderId="16" xfId="38" applyFont="1" applyFill="1" applyBorder="1" applyAlignment="1">
      <alignment horizontal="center"/>
    </xf>
    <xf numFmtId="0" fontId="8" fillId="24" borderId="17" xfId="38" applyFont="1" applyFill="1" applyBorder="1" applyAlignment="1">
      <alignment horizontal="center"/>
    </xf>
    <xf numFmtId="0" fontId="8" fillId="27" borderId="11" xfId="38" applyFont="1" applyFill="1" applyBorder="1"/>
    <xf numFmtId="0" fontId="6" fillId="25" borderId="0" xfId="0" applyNumberFormat="1" applyFont="1" applyFill="1" applyBorder="1" applyAlignment="1">
      <alignment horizontal="left"/>
    </xf>
    <xf numFmtId="0" fontId="6" fillId="25" borderId="11" xfId="0" applyNumberFormat="1" applyFont="1" applyFill="1" applyBorder="1" applyAlignment="1">
      <alignment horizontal="left"/>
    </xf>
    <xf numFmtId="43" fontId="0" fillId="0" borderId="0" xfId="0" applyNumberForma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/>
    <xf numFmtId="0" fontId="2" fillId="0" borderId="0" xfId="139"/>
    <xf numFmtId="0" fontId="8" fillId="30" borderId="0" xfId="138" applyNumberFormat="1" applyFont="1" applyFill="1" applyBorder="1" applyAlignment="1">
      <alignment horizontal="center"/>
    </xf>
    <xf numFmtId="0" fontId="8" fillId="30" borderId="0" xfId="38" applyNumberFormat="1" applyFont="1" applyFill="1" applyBorder="1" applyAlignment="1">
      <alignment horizontal="center"/>
    </xf>
    <xf numFmtId="164" fontId="8" fillId="30" borderId="0" xfId="38" applyNumberFormat="1" applyFont="1" applyFill="1" applyBorder="1" applyAlignment="1">
      <alignment horizontal="center"/>
    </xf>
    <xf numFmtId="0" fontId="13" fillId="30" borderId="0" xfId="138" applyNumberFormat="1" applyFont="1" applyFill="1" applyBorder="1" applyAlignment="1">
      <alignment horizontal="center" vertical="center" wrapText="1"/>
    </xf>
    <xf numFmtId="0" fontId="14" fillId="30" borderId="0" xfId="138" applyNumberFormat="1" applyFont="1" applyFill="1" applyBorder="1" applyAlignment="1">
      <alignment horizontal="center" vertical="center" wrapText="1"/>
    </xf>
    <xf numFmtId="0" fontId="15" fillId="30" borderId="0" xfId="138" applyNumberFormat="1" applyFont="1" applyFill="1" applyBorder="1" applyAlignment="1">
      <alignment horizontal="right"/>
    </xf>
    <xf numFmtId="0" fontId="8" fillId="30" borderId="0" xfId="138" applyNumberFormat="1" applyFont="1" applyFill="1" applyBorder="1" applyAlignment="1">
      <alignment horizontal="right"/>
    </xf>
    <xf numFmtId="0" fontId="16" fillId="30" borderId="0" xfId="138" applyNumberFormat="1" applyFont="1" applyFill="1" applyBorder="1" applyAlignment="1">
      <alignment horizontal="right"/>
    </xf>
    <xf numFmtId="0" fontId="10" fillId="30" borderId="0" xfId="138" applyNumberFormat="1" applyFont="1" applyFill="1" applyBorder="1" applyAlignment="1">
      <alignment horizontal="center"/>
    </xf>
    <xf numFmtId="0" fontId="6" fillId="0" borderId="0" xfId="51"/>
    <xf numFmtId="0" fontId="19" fillId="29" borderId="0" xfId="51" applyNumberFormat="1" applyFont="1" applyFill="1" applyBorder="1" applyAlignment="1">
      <alignment horizontal="center" vertical="center" wrapText="1"/>
    </xf>
    <xf numFmtId="0" fontId="6" fillId="29" borderId="0" xfId="51" applyFont="1" applyFill="1" applyBorder="1"/>
    <xf numFmtId="0" fontId="6" fillId="29" borderId="0" xfId="51" applyFont="1" applyFill="1" applyBorder="1" applyAlignment="1">
      <alignment horizontal="center"/>
    </xf>
    <xf numFmtId="164" fontId="6" fillId="29" borderId="0" xfId="51" applyNumberFormat="1" applyFont="1" applyFill="1" applyBorder="1" applyAlignment="1">
      <alignment horizontal="center"/>
    </xf>
    <xf numFmtId="0" fontId="6" fillId="29" borderId="0" xfId="38" applyNumberFormat="1" applyFont="1" applyFill="1" applyBorder="1" applyAlignment="1">
      <alignment horizontal="center"/>
    </xf>
    <xf numFmtId="0" fontId="53" fillId="30" borderId="0" xfId="138" applyFill="1" applyBorder="1" applyAlignment="1"/>
    <xf numFmtId="0" fontId="12" fillId="30" borderId="0" xfId="138" applyNumberFormat="1" applyFont="1" applyFill="1" applyBorder="1" applyAlignment="1">
      <alignment horizontal="center" vertical="center"/>
    </xf>
    <xf numFmtId="0" fontId="11" fillId="30" borderId="0" xfId="138" applyNumberFormat="1" applyFont="1" applyFill="1" applyBorder="1" applyAlignment="1">
      <alignment horizontal="left" vertical="center"/>
    </xf>
    <xf numFmtId="0" fontId="53" fillId="30" borderId="0" xfId="138" applyFill="1" applyBorder="1" applyAlignment="1">
      <alignment wrapText="1"/>
    </xf>
    <xf numFmtId="0" fontId="12" fillId="30" borderId="0" xfId="138" applyNumberFormat="1" applyFont="1" applyFill="1" applyBorder="1" applyAlignment="1">
      <alignment horizontal="left" vertical="center"/>
    </xf>
    <xf numFmtId="0" fontId="6" fillId="29" borderId="0" xfId="51" applyFont="1" applyFill="1" applyBorder="1"/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25" borderId="0" xfId="0" applyFill="1" applyBorder="1" applyAlignment="1">
      <alignment vertical="center"/>
    </xf>
    <xf numFmtId="0" fontId="8" fillId="25" borderId="0" xfId="0" applyNumberFormat="1" applyFont="1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 wrapText="1"/>
    </xf>
    <xf numFmtId="0" fontId="0" fillId="25" borderId="0" xfId="0" applyFill="1" applyBorder="1" applyAlignment="1">
      <alignment horizontal="right" vertical="center" wrapText="1"/>
    </xf>
    <xf numFmtId="0" fontId="0" fillId="25" borderId="0" xfId="0" applyFill="1" applyBorder="1" applyAlignment="1">
      <alignment horizontal="center" vertical="center"/>
    </xf>
    <xf numFmtId="0" fontId="0" fillId="25" borderId="0" xfId="0" applyFill="1" applyBorder="1"/>
    <xf numFmtId="0" fontId="37" fillId="0" borderId="0" xfId="0" applyFont="1" applyAlignment="1">
      <alignment horizontal="left" vertical="center"/>
    </xf>
    <xf numFmtId="0" fontId="8" fillId="25" borderId="0" xfId="0" applyNumberFormat="1" applyFont="1" applyFill="1" applyBorder="1" applyAlignment="1">
      <alignment horizontal="center"/>
    </xf>
    <xf numFmtId="0" fontId="11" fillId="25" borderId="0" xfId="0" applyFont="1" applyFill="1" applyBorder="1" applyAlignment="1">
      <alignment horizontal="left" vertical="center" indent="1"/>
    </xf>
    <xf numFmtId="0" fontId="19" fillId="25" borderId="0" xfId="0" applyFont="1" applyFill="1" applyBorder="1" applyAlignment="1">
      <alignment horizontal="left" vertical="center" indent="2"/>
    </xf>
    <xf numFmtId="0" fontId="19" fillId="25" borderId="0" xfId="0" applyFont="1" applyFill="1" applyBorder="1" applyAlignment="1">
      <alignment horizontal="left" vertical="center" wrapText="1" indent="2"/>
    </xf>
    <xf numFmtId="0" fontId="14" fillId="0" borderId="0" xfId="0" applyFont="1" applyAlignment="1">
      <alignment horizontal="center" vertical="center" wrapText="1"/>
    </xf>
    <xf numFmtId="0" fontId="57" fillId="24" borderId="0" xfId="0" applyNumberFormat="1" applyFont="1" applyFill="1" applyBorder="1" applyAlignment="1">
      <alignment horizontal="right"/>
    </xf>
    <xf numFmtId="0" fontId="0" fillId="25" borderId="0" xfId="0" applyFill="1" applyBorder="1" applyAlignment="1">
      <alignment horizontal="left" vertical="center" wrapText="1"/>
    </xf>
    <xf numFmtId="0" fontId="6" fillId="25" borderId="0" xfId="0" applyFont="1" applyFill="1" applyBorder="1" applyAlignment="1">
      <alignment horizontal="left" vertical="center"/>
    </xf>
    <xf numFmtId="0" fontId="6" fillId="24" borderId="14" xfId="38" applyFont="1" applyFill="1" applyBorder="1"/>
    <xf numFmtId="0" fontId="6" fillId="24" borderId="0" xfId="38" applyNumberFormat="1" applyFont="1" applyFill="1" applyBorder="1" applyAlignment="1">
      <alignment horizontal="left"/>
    </xf>
    <xf numFmtId="0" fontId="6" fillId="24" borderId="9" xfId="38" applyFont="1" applyFill="1" applyBorder="1"/>
    <xf numFmtId="0" fontId="13" fillId="24" borderId="0" xfId="38" applyFont="1" applyFill="1" applyBorder="1"/>
    <xf numFmtId="0" fontId="13" fillId="24" borderId="13" xfId="38" applyFont="1" applyFill="1" applyBorder="1"/>
    <xf numFmtId="0" fontId="57" fillId="24" borderId="0" xfId="38" applyNumberFormat="1" applyFont="1" applyFill="1" applyBorder="1" applyAlignment="1">
      <alignment horizontal="right"/>
    </xf>
    <xf numFmtId="0" fontId="6" fillId="24" borderId="13" xfId="38" applyFont="1" applyFill="1" applyBorder="1"/>
    <xf numFmtId="0" fontId="19" fillId="24" borderId="0" xfId="38" applyFont="1" applyFill="1" applyBorder="1" applyAlignment="1">
      <alignment horizontal="center"/>
    </xf>
    <xf numFmtId="0" fontId="6" fillId="24" borderId="11" xfId="38" applyFont="1" applyFill="1" applyBorder="1"/>
    <xf numFmtId="0" fontId="19" fillId="24" borderId="11" xfId="38" applyFont="1" applyFill="1" applyBorder="1" applyAlignment="1">
      <alignment horizontal="center"/>
    </xf>
    <xf numFmtId="0" fontId="38" fillId="24" borderId="12" xfId="38" applyFont="1" applyFill="1" applyBorder="1" applyAlignment="1">
      <alignment horizontal="left" indent="1"/>
    </xf>
    <xf numFmtId="0" fontId="6" fillId="24" borderId="13" xfId="38" applyFont="1" applyFill="1" applyBorder="1" applyAlignment="1">
      <alignment horizontal="center"/>
    </xf>
    <xf numFmtId="0" fontId="6" fillId="24" borderId="14" xfId="38" applyFont="1" applyFill="1" applyBorder="1" applyAlignment="1">
      <alignment horizontal="center"/>
    </xf>
    <xf numFmtId="0" fontId="10" fillId="24" borderId="9" xfId="38" applyFont="1" applyFill="1" applyBorder="1" applyAlignment="1">
      <alignment horizontal="center"/>
    </xf>
    <xf numFmtId="0" fontId="8" fillId="24" borderId="9" xfId="38" applyFont="1" applyFill="1" applyBorder="1" applyAlignment="1">
      <alignment horizontal="center"/>
    </xf>
    <xf numFmtId="0" fontId="13" fillId="24" borderId="9" xfId="38" applyFont="1" applyFill="1" applyBorder="1" applyAlignment="1">
      <alignment horizontal="left"/>
    </xf>
    <xf numFmtId="0" fontId="56" fillId="0" borderId="0" xfId="38" applyFont="1" applyAlignment="1">
      <alignment horizontal="left" vertical="center"/>
    </xf>
    <xf numFmtId="165" fontId="6" fillId="0" borderId="0" xfId="50" applyFont="1" applyAlignment="1">
      <alignment horizontal="center" vertical="center"/>
    </xf>
    <xf numFmtId="165" fontId="6" fillId="0" borderId="0" xfId="50" applyFont="1" applyAlignment="1">
      <alignment horizontal="center" vertical="center" wrapText="1"/>
    </xf>
    <xf numFmtId="0" fontId="6" fillId="24" borderId="0" xfId="38" applyFont="1" applyFill="1" applyBorder="1" applyAlignment="1">
      <alignment horizontal="center"/>
    </xf>
    <xf numFmtId="0" fontId="6" fillId="24" borderId="11" xfId="38" applyFont="1" applyFill="1" applyBorder="1" applyAlignment="1">
      <alignment horizontal="center"/>
    </xf>
    <xf numFmtId="43" fontId="0" fillId="0" borderId="0" xfId="0" applyNumberFormat="1"/>
    <xf numFmtId="0" fontId="14" fillId="28" borderId="0" xfId="138" applyNumberFormat="1" applyFont="1" applyFill="1" applyBorder="1" applyAlignment="1">
      <alignment horizontal="center" vertical="center" wrapText="1"/>
    </xf>
    <xf numFmtId="0" fontId="8" fillId="28" borderId="0" xfId="138" applyNumberFormat="1" applyFont="1" applyFill="1" applyBorder="1" applyAlignment="1">
      <alignment horizontal="center"/>
    </xf>
    <xf numFmtId="0" fontId="8" fillId="28" borderId="0" xfId="38" applyNumberFormat="1" applyFont="1" applyFill="1" applyBorder="1" applyAlignment="1">
      <alignment horizontal="center"/>
    </xf>
    <xf numFmtId="0" fontId="12" fillId="28" borderId="0" xfId="138" applyNumberFormat="1" applyFont="1" applyFill="1" applyBorder="1" applyAlignment="1">
      <alignment horizontal="center" vertical="center"/>
    </xf>
    <xf numFmtId="0" fontId="10" fillId="28" borderId="0" xfId="138" applyNumberFormat="1" applyFont="1" applyFill="1" applyBorder="1" applyAlignment="1">
      <alignment horizontal="center"/>
    </xf>
    <xf numFmtId="0" fontId="53" fillId="30" borderId="0" xfId="138" applyFill="1" applyBorder="1" applyAlignment="1">
      <alignment horizontal="center"/>
    </xf>
    <xf numFmtId="0" fontId="53" fillId="28" borderId="0" xfId="138" applyFill="1" applyBorder="1" applyAlignment="1">
      <alignment horizontal="center"/>
    </xf>
    <xf numFmtId="0" fontId="0" fillId="28" borderId="0" xfId="0" applyFill="1" applyAlignment="1">
      <alignment horizontal="center"/>
    </xf>
    <xf numFmtId="0" fontId="2" fillId="0" borderId="0" xfId="139" applyAlignment="1">
      <alignment horizontal="center"/>
    </xf>
    <xf numFmtId="0" fontId="0" fillId="25" borderId="0" xfId="0" applyFill="1" applyBorder="1" applyAlignment="1">
      <alignment horizontal="center"/>
    </xf>
    <xf numFmtId="0" fontId="19" fillId="0" borderId="0" xfId="0" applyFont="1" applyAlignment="1">
      <alignment horizontal="left"/>
    </xf>
    <xf numFmtId="166" fontId="0" fillId="0" borderId="0" xfId="0" applyNumberFormat="1"/>
    <xf numFmtId="0" fontId="0" fillId="32" borderId="0" xfId="0" applyFill="1"/>
    <xf numFmtId="43" fontId="6" fillId="0" borderId="0" xfId="0" applyNumberFormat="1" applyFont="1" applyAlignment="1">
      <alignment horizontal="center" vertical="center" wrapText="1"/>
    </xf>
    <xf numFmtId="0" fontId="6" fillId="31" borderId="0" xfId="0" applyFont="1" applyFill="1"/>
    <xf numFmtId="167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33" borderId="0" xfId="0" applyFont="1" applyFill="1"/>
    <xf numFmtId="0" fontId="0" fillId="33" borderId="0" xfId="0" applyFill="1"/>
    <xf numFmtId="0" fontId="0" fillId="0" borderId="0" xfId="0" applyNumberFormat="1"/>
  </cellXfs>
  <cellStyles count="1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14" xfId="143" xr:uid="{00000000-0005-0000-0000-00001B000000}"/>
    <cellStyle name="Comma 2" xfId="50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49" xr:uid="{00000000-0005-0000-0000-000023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10" xfId="51" xr:uid="{00000000-0005-0000-0000-000028000000}"/>
    <cellStyle name="Normal 11" xfId="52" xr:uid="{00000000-0005-0000-0000-000029000000}"/>
    <cellStyle name="Normal 12" xfId="53" xr:uid="{00000000-0005-0000-0000-00002A000000}"/>
    <cellStyle name="Normal 13" xfId="54" xr:uid="{00000000-0005-0000-0000-00002B000000}"/>
    <cellStyle name="Normal 14" xfId="55" xr:uid="{00000000-0005-0000-0000-00002C000000}"/>
    <cellStyle name="Normal 15" xfId="56" xr:uid="{00000000-0005-0000-0000-00002D000000}"/>
    <cellStyle name="Normal 16" xfId="57" xr:uid="{00000000-0005-0000-0000-00002E000000}"/>
    <cellStyle name="Normal 17" xfId="58" xr:uid="{00000000-0005-0000-0000-00002F000000}"/>
    <cellStyle name="Normal 18" xfId="59" xr:uid="{00000000-0005-0000-0000-000030000000}"/>
    <cellStyle name="Normal 19" xfId="60" xr:uid="{00000000-0005-0000-0000-000031000000}"/>
    <cellStyle name="Normal 2" xfId="37" xr:uid="{00000000-0005-0000-0000-000032000000}"/>
    <cellStyle name="Normal 2 2" xfId="46" xr:uid="{00000000-0005-0000-0000-000033000000}"/>
    <cellStyle name="Normal 2 3" xfId="61" xr:uid="{00000000-0005-0000-0000-000034000000}"/>
    <cellStyle name="Normal 2 3 2 3" xfId="144" xr:uid="{00000000-0005-0000-0000-000035000000}"/>
    <cellStyle name="Normal 2 3 3" xfId="141" xr:uid="{00000000-0005-0000-0000-000036000000}"/>
    <cellStyle name="Normal 2 3 4" xfId="142" xr:uid="{00000000-0005-0000-0000-000037000000}"/>
    <cellStyle name="Normal 20" xfId="62" xr:uid="{00000000-0005-0000-0000-000038000000}"/>
    <cellStyle name="Normal 21" xfId="63" xr:uid="{00000000-0005-0000-0000-000039000000}"/>
    <cellStyle name="Normal 22" xfId="64" xr:uid="{00000000-0005-0000-0000-00003A000000}"/>
    <cellStyle name="Normal 23" xfId="65" xr:uid="{00000000-0005-0000-0000-00003B000000}"/>
    <cellStyle name="Normal 24" xfId="66" xr:uid="{00000000-0005-0000-0000-00003C000000}"/>
    <cellStyle name="Normal 25" xfId="67" xr:uid="{00000000-0005-0000-0000-00003D000000}"/>
    <cellStyle name="Normal 26" xfId="68" xr:uid="{00000000-0005-0000-0000-00003E000000}"/>
    <cellStyle name="Normal 27" xfId="69" xr:uid="{00000000-0005-0000-0000-00003F000000}"/>
    <cellStyle name="Normal 28" xfId="70" xr:uid="{00000000-0005-0000-0000-000040000000}"/>
    <cellStyle name="Normal 29" xfId="71" xr:uid="{00000000-0005-0000-0000-000041000000}"/>
    <cellStyle name="Normal 3" xfId="45" xr:uid="{00000000-0005-0000-0000-000042000000}"/>
    <cellStyle name="Normal 30" xfId="72" xr:uid="{00000000-0005-0000-0000-000043000000}"/>
    <cellStyle name="Normal 31" xfId="73" xr:uid="{00000000-0005-0000-0000-000044000000}"/>
    <cellStyle name="Normal 32" xfId="74" xr:uid="{00000000-0005-0000-0000-000045000000}"/>
    <cellStyle name="Normal 33" xfId="75" xr:uid="{00000000-0005-0000-0000-000046000000}"/>
    <cellStyle name="Normal 34" xfId="76" xr:uid="{00000000-0005-0000-0000-000047000000}"/>
    <cellStyle name="Normal 35" xfId="77" xr:uid="{00000000-0005-0000-0000-000048000000}"/>
    <cellStyle name="Normal 36" xfId="78" xr:uid="{00000000-0005-0000-0000-000049000000}"/>
    <cellStyle name="Normal 37" xfId="79" xr:uid="{00000000-0005-0000-0000-00004A000000}"/>
    <cellStyle name="Normal 38" xfId="80" xr:uid="{00000000-0005-0000-0000-00004B000000}"/>
    <cellStyle name="Normal 39" xfId="81" xr:uid="{00000000-0005-0000-0000-00004C000000}"/>
    <cellStyle name="Normal 4" xfId="47" xr:uid="{00000000-0005-0000-0000-00004D000000}"/>
    <cellStyle name="Normal 4 2" xfId="82" xr:uid="{00000000-0005-0000-0000-00004E000000}"/>
    <cellStyle name="Normal 40" xfId="83" xr:uid="{00000000-0005-0000-0000-00004F000000}"/>
    <cellStyle name="Normal 41" xfId="84" xr:uid="{00000000-0005-0000-0000-000050000000}"/>
    <cellStyle name="Normal 42" xfId="85" xr:uid="{00000000-0005-0000-0000-000051000000}"/>
    <cellStyle name="Normal 43" xfId="86" xr:uid="{00000000-0005-0000-0000-000052000000}"/>
    <cellStyle name="Normal 44" xfId="87" xr:uid="{00000000-0005-0000-0000-000053000000}"/>
    <cellStyle name="Normal 45" xfId="88" xr:uid="{00000000-0005-0000-0000-000054000000}"/>
    <cellStyle name="Normal 46" xfId="89" xr:uid="{00000000-0005-0000-0000-000055000000}"/>
    <cellStyle name="Normal 47" xfId="90" xr:uid="{00000000-0005-0000-0000-000056000000}"/>
    <cellStyle name="Normal 48" xfId="91" xr:uid="{00000000-0005-0000-0000-000057000000}"/>
    <cellStyle name="Normal 49" xfId="92" xr:uid="{00000000-0005-0000-0000-000058000000}"/>
    <cellStyle name="Normal 5" xfId="48" xr:uid="{00000000-0005-0000-0000-000059000000}"/>
    <cellStyle name="Normal 5 2" xfId="93" xr:uid="{00000000-0005-0000-0000-00005A000000}"/>
    <cellStyle name="Normal 50" xfId="94" xr:uid="{00000000-0005-0000-0000-00005B000000}"/>
    <cellStyle name="Normal 51" xfId="95" xr:uid="{00000000-0005-0000-0000-00005C000000}"/>
    <cellStyle name="Normal 52" xfId="96" xr:uid="{00000000-0005-0000-0000-00005D000000}"/>
    <cellStyle name="Normal 53" xfId="97" xr:uid="{00000000-0005-0000-0000-00005E000000}"/>
    <cellStyle name="Normal 54" xfId="98" xr:uid="{00000000-0005-0000-0000-00005F000000}"/>
    <cellStyle name="Normal 55" xfId="99" xr:uid="{00000000-0005-0000-0000-000060000000}"/>
    <cellStyle name="Normal 56" xfId="100" xr:uid="{00000000-0005-0000-0000-000061000000}"/>
    <cellStyle name="Normal 57" xfId="101" xr:uid="{00000000-0005-0000-0000-000062000000}"/>
    <cellStyle name="Normal 58" xfId="102" xr:uid="{00000000-0005-0000-0000-000063000000}"/>
    <cellStyle name="Normal 59" xfId="103" xr:uid="{00000000-0005-0000-0000-000064000000}"/>
    <cellStyle name="Normal 6" xfId="104" xr:uid="{00000000-0005-0000-0000-000065000000}"/>
    <cellStyle name="Normal 60" xfId="105" xr:uid="{00000000-0005-0000-0000-000066000000}"/>
    <cellStyle name="Normal 61" xfId="106" xr:uid="{00000000-0005-0000-0000-000067000000}"/>
    <cellStyle name="Normal 62" xfId="138" xr:uid="{00000000-0005-0000-0000-000068000000}"/>
    <cellStyle name="Normal 63" xfId="107" xr:uid="{00000000-0005-0000-0000-000069000000}"/>
    <cellStyle name="Normal 64" xfId="108" xr:uid="{00000000-0005-0000-0000-00006A000000}"/>
    <cellStyle name="Normal 65" xfId="109" xr:uid="{00000000-0005-0000-0000-00006B000000}"/>
    <cellStyle name="Normal 66" xfId="110" xr:uid="{00000000-0005-0000-0000-00006C000000}"/>
    <cellStyle name="Normal 67" xfId="111" xr:uid="{00000000-0005-0000-0000-00006D000000}"/>
    <cellStyle name="Normal 68" xfId="112" xr:uid="{00000000-0005-0000-0000-00006E000000}"/>
    <cellStyle name="Normal 69" xfId="113" xr:uid="{00000000-0005-0000-0000-00006F000000}"/>
    <cellStyle name="Normal 7" xfId="114" xr:uid="{00000000-0005-0000-0000-000070000000}"/>
    <cellStyle name="Normal 70" xfId="115" xr:uid="{00000000-0005-0000-0000-000071000000}"/>
    <cellStyle name="Normal 71" xfId="116" xr:uid="{00000000-0005-0000-0000-000072000000}"/>
    <cellStyle name="Normal 72" xfId="117" xr:uid="{00000000-0005-0000-0000-000073000000}"/>
    <cellStyle name="Normal 73" xfId="118" xr:uid="{00000000-0005-0000-0000-000074000000}"/>
    <cellStyle name="Normal 74" xfId="119" xr:uid="{00000000-0005-0000-0000-000075000000}"/>
    <cellStyle name="Normal 75" xfId="120" xr:uid="{00000000-0005-0000-0000-000076000000}"/>
    <cellStyle name="Normal 76" xfId="121" xr:uid="{00000000-0005-0000-0000-000077000000}"/>
    <cellStyle name="Normal 77" xfId="122" xr:uid="{00000000-0005-0000-0000-000078000000}"/>
    <cellStyle name="Normal 78" xfId="123" xr:uid="{00000000-0005-0000-0000-000079000000}"/>
    <cellStyle name="Normal 79" xfId="124" xr:uid="{00000000-0005-0000-0000-00007A000000}"/>
    <cellStyle name="Normal 8" xfId="125" xr:uid="{00000000-0005-0000-0000-00007B000000}"/>
    <cellStyle name="Normal 80" xfId="139" xr:uid="{00000000-0005-0000-0000-00007C000000}"/>
    <cellStyle name="Normal 83" xfId="126" xr:uid="{00000000-0005-0000-0000-00007D000000}"/>
    <cellStyle name="Normal 84" xfId="127" xr:uid="{00000000-0005-0000-0000-00007E000000}"/>
    <cellStyle name="Normal 85" xfId="128" xr:uid="{00000000-0005-0000-0000-00007F000000}"/>
    <cellStyle name="Normal 86" xfId="129" xr:uid="{00000000-0005-0000-0000-000080000000}"/>
    <cellStyle name="Normal 87" xfId="130" xr:uid="{00000000-0005-0000-0000-000081000000}"/>
    <cellStyle name="Normal 88" xfId="131" xr:uid="{00000000-0005-0000-0000-000082000000}"/>
    <cellStyle name="Normal 89" xfId="132" xr:uid="{00000000-0005-0000-0000-000083000000}"/>
    <cellStyle name="Normal 9" xfId="133" xr:uid="{00000000-0005-0000-0000-000084000000}"/>
    <cellStyle name="Normal 90" xfId="134" xr:uid="{00000000-0005-0000-0000-000085000000}"/>
    <cellStyle name="Normal 91" xfId="135" xr:uid="{00000000-0005-0000-0000-000086000000}"/>
    <cellStyle name="Normal 92" xfId="136" xr:uid="{00000000-0005-0000-0000-000087000000}"/>
    <cellStyle name="Normal 93" xfId="137" xr:uid="{00000000-0005-0000-0000-000088000000}"/>
    <cellStyle name="Normal_TasdataSands" xfId="38" xr:uid="{00000000-0005-0000-0000-000089000000}"/>
    <cellStyle name="Note" xfId="39" builtinId="10" customBuiltin="1"/>
    <cellStyle name="Output" xfId="40" builtinId="21" customBuiltin="1"/>
    <cellStyle name="Percent 2" xfId="140" xr:uid="{00000000-0005-0000-0000-00008C000000}"/>
    <cellStyle name="Style 1" xfId="41" xr:uid="{00000000-0005-0000-0000-00008D000000}"/>
    <cellStyle name="Title" xfId="42" builtinId="15" customBuiltin="1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mruColors>
      <color rgb="FFFFFF99"/>
      <color rgb="FFCCFF99"/>
      <color rgb="FFFFFF66"/>
      <color rgb="FFFFFF00"/>
      <color rgb="FFC0C0C0"/>
      <color rgb="FFFF3300"/>
      <color rgb="FFCCFFCC"/>
      <color rgb="FFFFCC99"/>
      <color rgb="FF0099CC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AGB (g/seedling)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'FOR-526_Ex7'!$M$28</c:f>
              <c:strCache>
                <c:ptCount val="1"/>
                <c:pt idx="0">
                  <c:v>AGB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'FOR-526_Ex7'!$B$29:$B$617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'FOR-526_Ex7'!$M$29:$M$617</c:f>
              <c:numCache>
                <c:formatCode>_(* #,##0.00_);_(* \(#,##0.00\);_(* "-"??_);_(@_)</c:formatCode>
                <c:ptCount val="589"/>
                <c:pt idx="0">
                  <c:v>18.001800180018002</c:v>
                </c:pt>
                <c:pt idx="1">
                  <c:v>18.403860219325697</c:v>
                </c:pt>
                <c:pt idx="2">
                  <c:v>20.418297428324436</c:v>
                </c:pt>
                <c:pt idx="3">
                  <c:v>24.442141125970902</c:v>
                </c:pt>
                <c:pt idx="4">
                  <c:v>32.375206915755527</c:v>
                </c:pt>
                <c:pt idx="5">
                  <c:v>45.627357729493148</c:v>
                </c:pt>
                <c:pt idx="6">
                  <c:v>62.668130867817453</c:v>
                </c:pt>
                <c:pt idx="7">
                  <c:v>83.095473003178881</c:v>
                </c:pt>
                <c:pt idx="8">
                  <c:v>104.88101749434378</c:v>
                </c:pt>
                <c:pt idx="9">
                  <c:v>123.88985191310921</c:v>
                </c:pt>
                <c:pt idx="10">
                  <c:v>132.07228753792609</c:v>
                </c:pt>
                <c:pt idx="11">
                  <c:v>136.07791917097916</c:v>
                </c:pt>
                <c:pt idx="12">
                  <c:v>139.43153970034916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93-4DDE-94B2-78DA8E6E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38496"/>
        <c:axId val="733738888"/>
      </c:scatterChart>
      <c:valAx>
        <c:axId val="733738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8888"/>
        <c:crosses val="autoZero"/>
        <c:crossBetween val="midCat"/>
      </c:valAx>
      <c:valAx>
        <c:axId val="733738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'FOR-526_Ex7'!$J$28</c:f>
              <c:strCache>
                <c:ptCount val="1"/>
                <c:pt idx="0">
                  <c:v>fSW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'FOR-526_Ex7'!$B$29:$B$617</c:f>
              <c:numCache>
                <c:formatCode>General</c:formatCode>
                <c:ptCount val="58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</c:numCache>
            </c:numRef>
          </c:xVal>
          <c:yVal>
            <c:numRef>
              <c:f>'FOR-526_Ex7'!$J$29:$J$617</c:f>
              <c:numCache>
                <c:formatCode>_-* #,##0.00_-;\-* #,##0.00_-;_-* "-"??_-;_-@_-</c:formatCode>
                <c:ptCount val="589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30-4356-B472-2EBE6DCAC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39672"/>
        <c:axId val="733740064"/>
      </c:scatterChart>
      <c:valAx>
        <c:axId val="733739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40064"/>
        <c:crosses val="autoZero"/>
        <c:crossBetween val="midCat"/>
      </c:valAx>
      <c:valAx>
        <c:axId val="7337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9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28575</xdr:colOff>
      <xdr:row>33</xdr:row>
      <xdr:rowOff>66675</xdr:rowOff>
    </xdr:from>
    <xdr:ext cx="3752850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991850" y="6067425"/>
          <a:ext cx="37528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95251</xdr:colOff>
      <xdr:row>44</xdr:row>
      <xdr:rowOff>123825</xdr:rowOff>
    </xdr:from>
    <xdr:ext cx="252412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1058526" y="8020050"/>
          <a:ext cx="2524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828675</xdr:colOff>
      <xdr:row>37</xdr:row>
      <xdr:rowOff>19050</xdr:rowOff>
    </xdr:from>
    <xdr:ext cx="3076575" cy="26456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953750" y="6667500"/>
          <a:ext cx="3076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28576</xdr:colOff>
      <xdr:row>60</xdr:row>
      <xdr:rowOff>76201</xdr:rowOff>
    </xdr:from>
    <xdr:ext cx="3228974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991851" y="10715626"/>
          <a:ext cx="32289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14</xdr:col>
      <xdr:colOff>476250</xdr:colOff>
      <xdr:row>65</xdr:row>
      <xdr:rowOff>152400</xdr:rowOff>
    </xdr:from>
    <xdr:ext cx="18473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1439525" y="11601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314325</xdr:colOff>
      <xdr:row>22</xdr:row>
      <xdr:rowOff>104775</xdr:rowOff>
    </xdr:from>
    <xdr:to>
      <xdr:col>20</xdr:col>
      <xdr:colOff>123825</xdr:colOff>
      <xdr:row>38</xdr:row>
      <xdr:rowOff>119063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200025</xdr:colOff>
      <xdr:row>22</xdr:row>
      <xdr:rowOff>104775</xdr:rowOff>
    </xdr:from>
    <xdr:to>
      <xdr:col>26</xdr:col>
      <xdr:colOff>514350</xdr:colOff>
      <xdr:row>38</xdr:row>
      <xdr:rowOff>119063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2"/>
  <dimension ref="A1:Z104"/>
  <sheetViews>
    <sheetView topLeftCell="A64" workbookViewId="0">
      <selection activeCell="C103" sqref="C103"/>
    </sheetView>
  </sheetViews>
  <sheetFormatPr defaultColWidth="9.1796875" defaultRowHeight="12.5" x14ac:dyDescent="0.25"/>
  <cols>
    <col min="1" max="1" width="2.1796875" customWidth="1"/>
    <col min="2" max="2" width="51.1796875" customWidth="1"/>
    <col min="3" max="3" width="12.26953125" customWidth="1"/>
    <col min="4" max="4" width="12.81640625" customWidth="1"/>
    <col min="5" max="9" width="10" customWidth="1"/>
    <col min="12" max="12" width="10.26953125" bestFit="1" customWidth="1"/>
    <col min="13" max="13" width="12" style="10" customWidth="1"/>
    <col min="14" max="14" width="12.54296875" customWidth="1"/>
    <col min="17" max="17" width="12.1796875" customWidth="1"/>
    <col min="18" max="18" width="13.54296875" customWidth="1"/>
    <col min="22" max="22" width="11.7265625" style="135" customWidth="1"/>
    <col min="23" max="23" width="9.1796875" style="135"/>
    <col min="24" max="26" width="9.1796875" style="112"/>
  </cols>
  <sheetData>
    <row r="1" spans="1:23" x14ac:dyDescent="0.25">
      <c r="A1" s="1"/>
      <c r="B1" s="2"/>
      <c r="C1" s="3"/>
      <c r="D1" s="3"/>
      <c r="E1" s="3"/>
      <c r="F1" s="3"/>
      <c r="G1" s="3"/>
      <c r="H1" s="3"/>
      <c r="I1" s="3"/>
      <c r="V1" s="3"/>
    </row>
    <row r="2" spans="1:23" ht="23" x14ac:dyDescent="0.25">
      <c r="A2" s="4"/>
      <c r="B2" s="131" t="s">
        <v>445</v>
      </c>
      <c r="C2" s="129"/>
      <c r="D2" s="132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34"/>
      <c r="V2" s="183"/>
      <c r="W2" s="184"/>
    </row>
    <row r="3" spans="1:23" ht="15.5" x14ac:dyDescent="0.25">
      <c r="A3" s="5"/>
      <c r="B3" s="133" t="s">
        <v>2</v>
      </c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P3" s="129"/>
      <c r="Q3" s="129"/>
      <c r="R3" s="129"/>
      <c r="S3" s="129"/>
      <c r="T3" s="129"/>
      <c r="U3" s="134"/>
      <c r="V3" s="183"/>
      <c r="W3" s="184"/>
    </row>
    <row r="4" spans="1:23" ht="15.5" x14ac:dyDescent="0.25">
      <c r="A4" s="5"/>
      <c r="B4" s="133" t="s">
        <v>3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34"/>
      <c r="V4" s="183"/>
      <c r="W4" s="184"/>
    </row>
    <row r="5" spans="1:23" ht="15.5" x14ac:dyDescent="0.25">
      <c r="A5" s="5"/>
      <c r="B5" s="133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4"/>
      <c r="V5" s="130"/>
      <c r="W5" s="181"/>
    </row>
    <row r="6" spans="1:23" ht="26" x14ac:dyDescent="0.25">
      <c r="A6" s="6"/>
      <c r="B6" s="117" t="s">
        <v>4</v>
      </c>
      <c r="C6" s="117" t="s">
        <v>5</v>
      </c>
      <c r="D6" s="117" t="s">
        <v>6</v>
      </c>
      <c r="E6" s="118" t="s">
        <v>175</v>
      </c>
      <c r="F6" s="118" t="s">
        <v>7</v>
      </c>
      <c r="G6" s="118" t="s">
        <v>430</v>
      </c>
      <c r="H6" s="118" t="s">
        <v>8</v>
      </c>
      <c r="I6" s="118" t="s">
        <v>431</v>
      </c>
      <c r="J6" s="118" t="s">
        <v>432</v>
      </c>
      <c r="K6" s="118" t="s">
        <v>433</v>
      </c>
      <c r="L6" s="118" t="s">
        <v>417</v>
      </c>
      <c r="M6" s="118" t="s">
        <v>418</v>
      </c>
      <c r="N6" s="118" t="s">
        <v>446</v>
      </c>
      <c r="O6" s="118" t="s">
        <v>0</v>
      </c>
      <c r="P6" s="118" t="s">
        <v>1</v>
      </c>
      <c r="Q6" s="118" t="s">
        <v>434</v>
      </c>
      <c r="R6" s="118" t="s">
        <v>435</v>
      </c>
      <c r="S6" s="118" t="s">
        <v>436</v>
      </c>
      <c r="T6" s="118" t="s">
        <v>437</v>
      </c>
      <c r="U6" s="124" t="s">
        <v>451</v>
      </c>
      <c r="V6" s="118" t="s">
        <v>447</v>
      </c>
      <c r="W6" s="178" t="s">
        <v>450</v>
      </c>
    </row>
    <row r="7" spans="1:23" ht="21.75" customHeight="1" x14ac:dyDescent="0.35">
      <c r="A7" s="1"/>
      <c r="B7" s="119" t="s">
        <v>9</v>
      </c>
      <c r="C7" s="114"/>
      <c r="D7" s="114"/>
      <c r="E7" s="114"/>
      <c r="F7" s="114" t="s">
        <v>10</v>
      </c>
      <c r="G7" s="114" t="s">
        <v>438</v>
      </c>
      <c r="H7" s="114" t="s">
        <v>11</v>
      </c>
      <c r="I7" s="114" t="s">
        <v>439</v>
      </c>
      <c r="J7" s="114" t="s">
        <v>440</v>
      </c>
      <c r="K7" s="114" t="s">
        <v>441</v>
      </c>
      <c r="L7" s="114" t="s">
        <v>10</v>
      </c>
      <c r="M7" s="114" t="s">
        <v>10</v>
      </c>
      <c r="N7" s="114"/>
      <c r="O7" s="114"/>
      <c r="P7" s="114"/>
      <c r="Q7" s="114"/>
      <c r="R7" s="114" t="s">
        <v>442</v>
      </c>
      <c r="S7" s="114" t="s">
        <v>443</v>
      </c>
      <c r="T7" s="114" t="s">
        <v>444</v>
      </c>
      <c r="U7" s="125"/>
      <c r="V7" s="114"/>
      <c r="W7" s="179"/>
    </row>
    <row r="8" spans="1:23" ht="13" x14ac:dyDescent="0.3">
      <c r="A8" s="7"/>
      <c r="B8" s="121" t="s">
        <v>12</v>
      </c>
      <c r="C8" s="122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5"/>
      <c r="V8" s="122"/>
      <c r="W8" s="182"/>
    </row>
    <row r="9" spans="1:23" x14ac:dyDescent="0.25">
      <c r="A9" s="1"/>
      <c r="B9" s="120" t="s">
        <v>13</v>
      </c>
      <c r="C9" s="114" t="s">
        <v>14</v>
      </c>
      <c r="D9" s="114" t="s">
        <v>15</v>
      </c>
      <c r="E9" s="114">
        <v>1</v>
      </c>
      <c r="F9" s="114">
        <v>1</v>
      </c>
      <c r="G9" s="114">
        <v>1</v>
      </c>
      <c r="H9" s="114">
        <v>0.8</v>
      </c>
      <c r="I9" s="114">
        <v>2.4</v>
      </c>
      <c r="J9" s="114">
        <v>0.17</v>
      </c>
      <c r="K9" s="114">
        <v>1</v>
      </c>
      <c r="L9" s="114">
        <v>0.8</v>
      </c>
      <c r="M9" s="114">
        <v>0.8</v>
      </c>
      <c r="N9" s="114">
        <v>1.3</v>
      </c>
      <c r="O9" s="114">
        <v>0.95</v>
      </c>
      <c r="P9" s="114">
        <v>0.53</v>
      </c>
      <c r="Q9" s="114">
        <v>1.3280000000000001</v>
      </c>
      <c r="R9" s="114">
        <v>1.2745</v>
      </c>
      <c r="S9" s="114">
        <v>0.4</v>
      </c>
      <c r="T9" s="114">
        <v>1.170214078631207</v>
      </c>
      <c r="U9" s="126">
        <v>1.1000000000000001</v>
      </c>
      <c r="V9" s="114">
        <v>0.8</v>
      </c>
      <c r="W9" s="185">
        <v>1.53</v>
      </c>
    </row>
    <row r="10" spans="1:23" x14ac:dyDescent="0.25">
      <c r="A10" s="1"/>
      <c r="B10" s="120" t="s">
        <v>16</v>
      </c>
      <c r="C10" s="114" t="s">
        <v>17</v>
      </c>
      <c r="D10" s="114" t="s">
        <v>15</v>
      </c>
      <c r="E10" s="114">
        <v>0.15</v>
      </c>
      <c r="F10" s="114">
        <v>0.15</v>
      </c>
      <c r="G10" s="114">
        <v>0.15</v>
      </c>
      <c r="H10" s="114">
        <v>0.4</v>
      </c>
      <c r="I10" s="114">
        <v>0.15</v>
      </c>
      <c r="J10" s="114">
        <v>0.12</v>
      </c>
      <c r="K10" s="114">
        <v>0.15</v>
      </c>
      <c r="L10" s="114">
        <v>0.08</v>
      </c>
      <c r="M10" s="114">
        <v>0.15</v>
      </c>
      <c r="N10" s="114">
        <v>0.7</v>
      </c>
      <c r="O10" s="114">
        <v>0.375</v>
      </c>
      <c r="P10" s="114">
        <v>0.45</v>
      </c>
      <c r="Q10" s="114">
        <v>0.75</v>
      </c>
      <c r="R10" s="114">
        <v>0.51319999999999999</v>
      </c>
      <c r="S10" s="114">
        <v>0.25</v>
      </c>
      <c r="T10" s="114">
        <v>0.16214826973305599</v>
      </c>
      <c r="U10" s="126">
        <v>0.45</v>
      </c>
      <c r="V10" s="114">
        <v>0.3</v>
      </c>
      <c r="W10" s="185">
        <v>0.55000000000000004</v>
      </c>
    </row>
    <row r="11" spans="1:23" x14ac:dyDescent="0.25">
      <c r="A11" s="1"/>
      <c r="B11" s="120" t="s">
        <v>18</v>
      </c>
      <c r="C11" s="114" t="s">
        <v>19</v>
      </c>
      <c r="D11" s="114" t="s">
        <v>15</v>
      </c>
      <c r="E11" s="114">
        <v>9.5000000000000001E-2</v>
      </c>
      <c r="F11" s="114">
        <v>9.5000000000000001E-2</v>
      </c>
      <c r="G11" s="114">
        <v>5.57E-2</v>
      </c>
      <c r="H11" s="114">
        <v>2.4299999999999999E-2</v>
      </c>
      <c r="I11" s="114">
        <v>2.4299999999999999E-2</v>
      </c>
      <c r="J11" s="114">
        <v>9.1999999999999998E-2</v>
      </c>
      <c r="K11" s="114">
        <v>9.5000000000000001E-2</v>
      </c>
      <c r="L11" s="114">
        <v>9.5000000000000001E-2</v>
      </c>
      <c r="M11" s="114">
        <v>9.5000000000000001E-2</v>
      </c>
      <c r="N11" s="114">
        <v>8.43E-2</v>
      </c>
      <c r="O11" s="114">
        <v>4.6899999999999997E-2</v>
      </c>
      <c r="P11" s="114">
        <v>4.1099999999999998E-2</v>
      </c>
      <c r="Q11" s="114">
        <v>4.5999999999999999E-3</v>
      </c>
      <c r="R11" s="114">
        <v>4.5999999999999999E-3</v>
      </c>
      <c r="S11" s="114">
        <v>0.1</v>
      </c>
      <c r="T11" s="114">
        <v>3.4303E-2</v>
      </c>
      <c r="U11" s="127">
        <v>8.43E-2</v>
      </c>
      <c r="V11" s="114">
        <v>2.4299999999999999E-2</v>
      </c>
      <c r="W11" s="185">
        <v>7.3000000000000001E-3</v>
      </c>
    </row>
    <row r="12" spans="1:23" x14ac:dyDescent="0.25">
      <c r="A12" s="1"/>
      <c r="B12" s="120" t="s">
        <v>20</v>
      </c>
      <c r="C12" s="114" t="s">
        <v>21</v>
      </c>
      <c r="D12" s="114" t="s">
        <v>15</v>
      </c>
      <c r="E12" s="114">
        <v>2.4</v>
      </c>
      <c r="F12" s="114">
        <v>2.4</v>
      </c>
      <c r="G12" s="114">
        <v>2.7061999999999999</v>
      </c>
      <c r="H12" s="114">
        <v>2.72</v>
      </c>
      <c r="I12" s="114">
        <v>2.72</v>
      </c>
      <c r="J12" s="114">
        <v>2.4500000000000002</v>
      </c>
      <c r="K12" s="114">
        <v>2.4</v>
      </c>
      <c r="L12" s="114">
        <v>2.4</v>
      </c>
      <c r="M12" s="114">
        <v>2.4</v>
      </c>
      <c r="N12" s="114">
        <v>2.4359000000000002</v>
      </c>
      <c r="O12" s="114">
        <v>2.9550000000000001</v>
      </c>
      <c r="P12" s="114">
        <v>2.4192</v>
      </c>
      <c r="Q12" s="114">
        <v>2.97</v>
      </c>
      <c r="R12" s="114">
        <v>2.97</v>
      </c>
      <c r="S12" s="114">
        <v>2.5</v>
      </c>
      <c r="T12" s="114">
        <v>2.7630050000000002</v>
      </c>
      <c r="U12" s="127">
        <v>2.4359000000000002</v>
      </c>
      <c r="V12" s="114">
        <v>2.72</v>
      </c>
      <c r="W12" s="185">
        <v>3.282</v>
      </c>
    </row>
    <row r="13" spans="1:23" x14ac:dyDescent="0.25">
      <c r="A13" s="1"/>
      <c r="B13" s="120" t="s">
        <v>22</v>
      </c>
      <c r="C13" s="115" t="s">
        <v>23</v>
      </c>
      <c r="D13" s="114" t="s">
        <v>15</v>
      </c>
      <c r="E13" s="115">
        <v>0.8</v>
      </c>
      <c r="F13" s="115">
        <v>0.8</v>
      </c>
      <c r="G13" s="115">
        <v>0.8</v>
      </c>
      <c r="H13" s="115">
        <v>0.6</v>
      </c>
      <c r="I13" s="115">
        <v>0.8</v>
      </c>
      <c r="J13" s="115">
        <v>0.8</v>
      </c>
      <c r="K13" s="115">
        <v>0.8</v>
      </c>
      <c r="L13" s="115">
        <v>0.7</v>
      </c>
      <c r="M13" s="115">
        <v>0.7</v>
      </c>
      <c r="N13" s="115">
        <v>0.8</v>
      </c>
      <c r="O13" s="115">
        <v>0.8</v>
      </c>
      <c r="P13" s="115">
        <v>0.8</v>
      </c>
      <c r="Q13" s="115">
        <v>0.8</v>
      </c>
      <c r="R13" s="115">
        <v>0.8</v>
      </c>
      <c r="S13" s="114">
        <v>0.4</v>
      </c>
      <c r="T13" s="114">
        <v>0.4</v>
      </c>
      <c r="U13" s="126">
        <v>0.8</v>
      </c>
      <c r="V13" s="115">
        <v>0.8</v>
      </c>
      <c r="W13" s="185">
        <v>0.8</v>
      </c>
    </row>
    <row r="14" spans="1:23" x14ac:dyDescent="0.25">
      <c r="A14" s="1"/>
      <c r="B14" s="120" t="s">
        <v>24</v>
      </c>
      <c r="C14" s="115" t="s">
        <v>25</v>
      </c>
      <c r="D14" s="114" t="s">
        <v>15</v>
      </c>
      <c r="E14" s="115">
        <v>0.25</v>
      </c>
      <c r="F14" s="115">
        <v>0.25</v>
      </c>
      <c r="G14" s="115">
        <v>0.25</v>
      </c>
      <c r="H14" s="115">
        <v>0.25</v>
      </c>
      <c r="I14" s="115">
        <v>0.23</v>
      </c>
      <c r="J14" s="115">
        <v>0.1</v>
      </c>
      <c r="K14" s="115">
        <v>0.25</v>
      </c>
      <c r="L14" s="115">
        <v>0.25</v>
      </c>
      <c r="M14" s="115">
        <v>0.25</v>
      </c>
      <c r="N14" s="115">
        <v>0.25</v>
      </c>
      <c r="O14" s="115">
        <v>0.2</v>
      </c>
      <c r="P14" s="115">
        <v>0.2</v>
      </c>
      <c r="Q14" s="115">
        <v>0.25</v>
      </c>
      <c r="R14" s="115">
        <v>0.25</v>
      </c>
      <c r="S14" s="114">
        <v>0.2</v>
      </c>
      <c r="T14" s="114">
        <v>0.14399999999999999</v>
      </c>
      <c r="U14" s="126">
        <v>0.25</v>
      </c>
      <c r="V14" s="115">
        <v>0.23</v>
      </c>
      <c r="W14" s="185">
        <v>0.25</v>
      </c>
    </row>
    <row r="15" spans="1:23" ht="13" x14ac:dyDescent="0.3">
      <c r="A15" s="7"/>
      <c r="B15" s="121" t="s">
        <v>26</v>
      </c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5"/>
      <c r="V15" s="122"/>
      <c r="W15" s="185"/>
    </row>
    <row r="16" spans="1:23" x14ac:dyDescent="0.25">
      <c r="A16" s="1"/>
      <c r="B16" s="120" t="s">
        <v>27</v>
      </c>
      <c r="C16" s="115" t="s">
        <v>28</v>
      </c>
      <c r="D16" s="114" t="s">
        <v>29</v>
      </c>
      <c r="E16" s="115">
        <v>0.03</v>
      </c>
      <c r="F16" s="115">
        <v>2.7E-2</v>
      </c>
      <c r="G16" s="115">
        <v>2.7E-2</v>
      </c>
      <c r="H16" s="115">
        <v>0.03</v>
      </c>
      <c r="I16" s="115">
        <v>0.04</v>
      </c>
      <c r="J16" s="115">
        <v>2.1999999999999999E-2</v>
      </c>
      <c r="K16" s="115">
        <v>2.7E-2</v>
      </c>
      <c r="L16" s="115">
        <v>2.7E-2</v>
      </c>
      <c r="M16" s="115">
        <v>2.7E-2</v>
      </c>
      <c r="N16" s="115">
        <v>0.02</v>
      </c>
      <c r="O16" s="115">
        <v>7.8E-2</v>
      </c>
      <c r="P16" s="115">
        <v>8.0000000000000002E-3</v>
      </c>
      <c r="Q16" s="115">
        <v>2.1000000000000001E-2</v>
      </c>
      <c r="R16" s="115">
        <v>2.1000000000000001E-2</v>
      </c>
      <c r="S16" s="114">
        <v>4.2000000000000003E-2</v>
      </c>
      <c r="T16" s="114">
        <v>4.2000000000000003E-2</v>
      </c>
      <c r="U16" s="126">
        <v>2.5000000000000001E-2</v>
      </c>
      <c r="V16" s="115">
        <v>4.2000000000000003E-2</v>
      </c>
      <c r="W16" s="185">
        <v>1.4999999999999999E-2</v>
      </c>
    </row>
    <row r="17" spans="1:23" x14ac:dyDescent="0.25">
      <c r="A17" s="1"/>
      <c r="B17" s="120" t="s">
        <v>30</v>
      </c>
      <c r="C17" s="115" t="s">
        <v>31</v>
      </c>
      <c r="D17" s="114" t="s">
        <v>29</v>
      </c>
      <c r="E17" s="115">
        <v>1E-3</v>
      </c>
      <c r="F17" s="115">
        <v>1E-3</v>
      </c>
      <c r="G17" s="115">
        <v>1E-3</v>
      </c>
      <c r="H17" s="115">
        <v>1E-3</v>
      </c>
      <c r="I17" s="115">
        <v>1.25E-3</v>
      </c>
      <c r="J17" s="115">
        <v>1E-3</v>
      </c>
      <c r="K17" s="115">
        <v>1E-3</v>
      </c>
      <c r="L17" s="115">
        <v>1E-3</v>
      </c>
      <c r="M17" s="115">
        <v>1E-3</v>
      </c>
      <c r="N17" s="115">
        <v>1E-3</v>
      </c>
      <c r="O17" s="115">
        <v>1E-3</v>
      </c>
      <c r="P17" s="115">
        <v>1E-3</v>
      </c>
      <c r="Q17" s="115">
        <v>1E-3</v>
      </c>
      <c r="R17" s="115">
        <v>1E-3</v>
      </c>
      <c r="S17" s="114">
        <v>1E-3</v>
      </c>
      <c r="T17" s="114">
        <v>1E-3</v>
      </c>
      <c r="U17" s="126">
        <v>1E-3</v>
      </c>
      <c r="V17" s="115">
        <v>1E-3</v>
      </c>
      <c r="W17" s="185">
        <v>0.01</v>
      </c>
    </row>
    <row r="18" spans="1:23" x14ac:dyDescent="0.25">
      <c r="A18" s="1"/>
      <c r="B18" s="120" t="s">
        <v>32</v>
      </c>
      <c r="C18" s="115" t="s">
        <v>33</v>
      </c>
      <c r="D18" s="114" t="s">
        <v>34</v>
      </c>
      <c r="E18" s="115">
        <v>12</v>
      </c>
      <c r="F18" s="115">
        <v>12</v>
      </c>
      <c r="G18" s="115">
        <v>12</v>
      </c>
      <c r="H18" s="115">
        <v>36</v>
      </c>
      <c r="I18" s="115">
        <v>36</v>
      </c>
      <c r="J18" s="115">
        <v>12</v>
      </c>
      <c r="K18" s="115">
        <v>12</v>
      </c>
      <c r="L18" s="115">
        <v>12</v>
      </c>
      <c r="M18" s="115">
        <v>12</v>
      </c>
      <c r="N18" s="115">
        <v>36</v>
      </c>
      <c r="O18" s="115">
        <v>36</v>
      </c>
      <c r="P18" s="115">
        <v>36</v>
      </c>
      <c r="Q18" s="115">
        <v>36</v>
      </c>
      <c r="R18" s="115">
        <v>36</v>
      </c>
      <c r="S18" s="114">
        <v>18</v>
      </c>
      <c r="T18" s="114">
        <v>18</v>
      </c>
      <c r="U18" s="126">
        <v>36</v>
      </c>
      <c r="V18" s="115">
        <v>18</v>
      </c>
      <c r="W18" s="185">
        <v>120</v>
      </c>
    </row>
    <row r="19" spans="1:23" x14ac:dyDescent="0.25">
      <c r="A19" s="1"/>
      <c r="B19" s="120" t="s">
        <v>35</v>
      </c>
      <c r="C19" s="115" t="s">
        <v>36</v>
      </c>
      <c r="D19" s="114" t="s">
        <v>29</v>
      </c>
      <c r="E19" s="115">
        <v>1.4999999999999999E-2</v>
      </c>
      <c r="F19" s="115">
        <v>1.4999999999999999E-2</v>
      </c>
      <c r="G19" s="115">
        <v>1.4999999999999999E-2</v>
      </c>
      <c r="H19" s="115">
        <v>1.4999999999999999E-2</v>
      </c>
      <c r="I19" s="115">
        <v>1.4999999999999999E-2</v>
      </c>
      <c r="J19" s="115">
        <v>1.4999999999999999E-2</v>
      </c>
      <c r="K19" s="115">
        <v>1.4999999999999999E-2</v>
      </c>
      <c r="L19" s="115">
        <v>1.4999999999999999E-2</v>
      </c>
      <c r="M19" s="115">
        <v>1.4999999999999999E-2</v>
      </c>
      <c r="N19" s="115">
        <v>0.2</v>
      </c>
      <c r="O19" s="115">
        <v>0.2</v>
      </c>
      <c r="P19" s="115">
        <v>0.2</v>
      </c>
      <c r="Q19" s="115">
        <v>1.4999999999999999E-2</v>
      </c>
      <c r="R19" s="115">
        <v>0.04</v>
      </c>
      <c r="S19" s="114">
        <v>1.6799999999999999E-2</v>
      </c>
      <c r="T19" s="114">
        <v>1.8280000000000001E-2</v>
      </c>
      <c r="U19" s="126">
        <v>0.2</v>
      </c>
      <c r="V19" s="115">
        <v>1.4999999999999999E-2</v>
      </c>
      <c r="W19" s="185">
        <v>1.4999999999999999E-2</v>
      </c>
    </row>
    <row r="20" spans="1:23" ht="21.75" customHeight="1" x14ac:dyDescent="0.35">
      <c r="A20" s="1"/>
      <c r="B20" s="119" t="s">
        <v>37</v>
      </c>
      <c r="C20" s="114"/>
      <c r="D20" s="114"/>
      <c r="E20" s="114"/>
      <c r="F20" s="122"/>
      <c r="G20" s="122"/>
      <c r="H20" s="122"/>
      <c r="I20" s="122"/>
      <c r="J20" s="114"/>
      <c r="K20" s="122"/>
      <c r="L20" s="114"/>
      <c r="M20" s="114"/>
      <c r="N20" s="114"/>
      <c r="O20" s="114"/>
      <c r="P20" s="114"/>
      <c r="Q20" s="114"/>
      <c r="R20" s="114"/>
      <c r="S20" s="122"/>
      <c r="T20" s="122"/>
      <c r="U20" s="125"/>
      <c r="V20" s="122"/>
      <c r="W20" s="182"/>
    </row>
    <row r="21" spans="1:23" ht="13" x14ac:dyDescent="0.3">
      <c r="A21" s="7"/>
      <c r="B21" s="121" t="s">
        <v>38</v>
      </c>
      <c r="C21" s="122"/>
      <c r="D21" s="122"/>
      <c r="E21" s="122"/>
      <c r="F21" s="122"/>
      <c r="G21" s="122"/>
      <c r="H21" s="122"/>
      <c r="I21" s="122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5"/>
      <c r="V21" s="122"/>
      <c r="W21" s="182"/>
    </row>
    <row r="22" spans="1:23" x14ac:dyDescent="0.25">
      <c r="A22" s="1"/>
      <c r="B22" s="120" t="s">
        <v>39</v>
      </c>
      <c r="C22" s="114" t="s">
        <v>40</v>
      </c>
      <c r="D22" s="114" t="s">
        <v>41</v>
      </c>
      <c r="E22" s="115">
        <v>-999</v>
      </c>
      <c r="F22" s="115">
        <v>8.5</v>
      </c>
      <c r="G22" s="115">
        <v>8.5</v>
      </c>
      <c r="H22" s="115">
        <v>0</v>
      </c>
      <c r="I22" s="115">
        <v>0</v>
      </c>
      <c r="J22" s="115">
        <v>2</v>
      </c>
      <c r="K22" s="115">
        <v>8</v>
      </c>
      <c r="L22" s="115">
        <v>9</v>
      </c>
      <c r="M22" s="115">
        <v>9</v>
      </c>
      <c r="N22" s="115">
        <v>-7</v>
      </c>
      <c r="O22" s="115">
        <v>0</v>
      </c>
      <c r="P22" s="115">
        <v>0</v>
      </c>
      <c r="Q22" s="115">
        <v>-7</v>
      </c>
      <c r="R22" s="115">
        <v>-2</v>
      </c>
      <c r="S22" s="114">
        <v>4</v>
      </c>
      <c r="T22" s="114">
        <v>5</v>
      </c>
      <c r="U22" s="126">
        <v>0</v>
      </c>
      <c r="V22" s="115">
        <v>0</v>
      </c>
      <c r="W22" s="185" t="s">
        <v>448</v>
      </c>
    </row>
    <row r="23" spans="1:23" x14ac:dyDescent="0.25">
      <c r="A23" s="1"/>
      <c r="B23" s="120" t="s">
        <v>42</v>
      </c>
      <c r="C23" s="115" t="s">
        <v>43</v>
      </c>
      <c r="D23" s="114" t="s">
        <v>41</v>
      </c>
      <c r="E23" s="115">
        <v>25</v>
      </c>
      <c r="F23" s="115">
        <v>16</v>
      </c>
      <c r="G23" s="115">
        <v>16</v>
      </c>
      <c r="H23" s="115">
        <v>20</v>
      </c>
      <c r="I23" s="115">
        <v>20</v>
      </c>
      <c r="J23" s="115">
        <v>15</v>
      </c>
      <c r="K23" s="115">
        <v>16</v>
      </c>
      <c r="L23" s="115">
        <v>25</v>
      </c>
      <c r="M23" s="115">
        <v>25</v>
      </c>
      <c r="N23" s="115">
        <v>18</v>
      </c>
      <c r="O23" s="115">
        <v>24</v>
      </c>
      <c r="P23" s="115">
        <v>24</v>
      </c>
      <c r="Q23" s="115">
        <v>18</v>
      </c>
      <c r="R23" s="115">
        <v>20</v>
      </c>
      <c r="S23" s="114">
        <v>25</v>
      </c>
      <c r="T23" s="114">
        <v>25</v>
      </c>
      <c r="U23" s="126">
        <v>18</v>
      </c>
      <c r="V23" s="115">
        <v>20</v>
      </c>
      <c r="W23" s="185">
        <v>15</v>
      </c>
    </row>
    <row r="24" spans="1:23" x14ac:dyDescent="0.25">
      <c r="A24" s="1"/>
      <c r="B24" s="120" t="s">
        <v>44</v>
      </c>
      <c r="C24" s="115" t="s">
        <v>45</v>
      </c>
      <c r="D24" s="114" t="s">
        <v>41</v>
      </c>
      <c r="E24" s="115">
        <v>999</v>
      </c>
      <c r="F24" s="115">
        <v>40</v>
      </c>
      <c r="G24" s="115">
        <v>40</v>
      </c>
      <c r="H24" s="115">
        <v>32</v>
      </c>
      <c r="I24" s="115">
        <v>32</v>
      </c>
      <c r="J24" s="115">
        <v>32</v>
      </c>
      <c r="K24" s="115">
        <v>40</v>
      </c>
      <c r="L24" s="115">
        <v>30</v>
      </c>
      <c r="M24" s="115">
        <v>30</v>
      </c>
      <c r="N24" s="115">
        <v>40</v>
      </c>
      <c r="O24" s="115">
        <v>40</v>
      </c>
      <c r="P24" s="115">
        <v>40</v>
      </c>
      <c r="Q24" s="115">
        <v>40</v>
      </c>
      <c r="R24" s="115">
        <v>40</v>
      </c>
      <c r="S24" s="114">
        <v>38</v>
      </c>
      <c r="T24" s="114">
        <v>40</v>
      </c>
      <c r="U24" s="126">
        <v>35</v>
      </c>
      <c r="V24" s="115">
        <v>32</v>
      </c>
      <c r="W24" s="185">
        <v>30</v>
      </c>
    </row>
    <row r="25" spans="1:23" ht="13" x14ac:dyDescent="0.3">
      <c r="A25" s="7"/>
      <c r="B25" s="121" t="s">
        <v>46</v>
      </c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5"/>
      <c r="V25" s="122"/>
      <c r="W25" s="185"/>
    </row>
    <row r="26" spans="1:23" x14ac:dyDescent="0.25">
      <c r="A26" s="1"/>
      <c r="B26" s="120" t="s">
        <v>47</v>
      </c>
      <c r="C26" s="114" t="s">
        <v>48</v>
      </c>
      <c r="D26" s="114" t="s">
        <v>49</v>
      </c>
      <c r="E26" s="114">
        <v>1</v>
      </c>
      <c r="F26" s="114">
        <v>0</v>
      </c>
      <c r="G26" s="114">
        <v>0</v>
      </c>
      <c r="H26" s="114">
        <v>1</v>
      </c>
      <c r="I26" s="114">
        <v>1</v>
      </c>
      <c r="J26" s="114">
        <v>1</v>
      </c>
      <c r="K26" s="114">
        <v>0</v>
      </c>
      <c r="L26" s="114">
        <v>1</v>
      </c>
      <c r="M26" s="114">
        <v>2</v>
      </c>
      <c r="N26" s="114">
        <v>1</v>
      </c>
      <c r="O26" s="114">
        <v>1</v>
      </c>
      <c r="P26" s="114">
        <v>1</v>
      </c>
      <c r="Q26" s="114">
        <v>1</v>
      </c>
      <c r="R26" s="114">
        <v>1</v>
      </c>
      <c r="S26" s="114">
        <v>1</v>
      </c>
      <c r="T26" s="114">
        <v>1</v>
      </c>
      <c r="U26" s="126">
        <v>1</v>
      </c>
      <c r="V26" s="114">
        <v>1</v>
      </c>
      <c r="W26" s="179">
        <v>1</v>
      </c>
    </row>
    <row r="27" spans="1:23" ht="13" x14ac:dyDescent="0.3">
      <c r="A27" s="7"/>
      <c r="B27" s="121" t="s">
        <v>50</v>
      </c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5"/>
      <c r="V27" s="122"/>
      <c r="W27" s="185"/>
    </row>
    <row r="28" spans="1:23" ht="15.5" x14ac:dyDescent="0.4">
      <c r="A28" s="1"/>
      <c r="B28" s="120" t="s">
        <v>169</v>
      </c>
      <c r="C28" s="115" t="s">
        <v>51</v>
      </c>
      <c r="D28" s="114" t="s">
        <v>15</v>
      </c>
      <c r="E28" s="115">
        <v>0.7</v>
      </c>
      <c r="F28" s="115">
        <v>0.7</v>
      </c>
      <c r="G28" s="115">
        <v>0.7</v>
      </c>
      <c r="H28" s="115">
        <v>0.7</v>
      </c>
      <c r="I28" s="115">
        <v>0.7</v>
      </c>
      <c r="J28" s="115">
        <v>0.6</v>
      </c>
      <c r="K28" s="115">
        <v>0.7</v>
      </c>
      <c r="L28" s="115">
        <v>0.7</v>
      </c>
      <c r="M28" s="115">
        <v>0.7</v>
      </c>
      <c r="N28" s="115">
        <v>0.7</v>
      </c>
      <c r="O28" s="115">
        <v>0.7</v>
      </c>
      <c r="P28" s="115">
        <v>0.7</v>
      </c>
      <c r="Q28" s="115">
        <v>0.7</v>
      </c>
      <c r="R28" s="115">
        <v>0.7</v>
      </c>
      <c r="S28" s="114">
        <v>0.7</v>
      </c>
      <c r="T28" s="114">
        <v>0.7</v>
      </c>
      <c r="U28" s="126">
        <v>0.7</v>
      </c>
      <c r="V28" s="115">
        <v>0.7</v>
      </c>
      <c r="W28" s="180">
        <v>0.6</v>
      </c>
    </row>
    <row r="29" spans="1:23" x14ac:dyDescent="0.25">
      <c r="A29" s="1"/>
      <c r="B29" s="120" t="s">
        <v>52</v>
      </c>
      <c r="C29" s="115" t="s">
        <v>53</v>
      </c>
      <c r="D29" s="114" t="s">
        <v>15</v>
      </c>
      <c r="E29" s="115">
        <v>9</v>
      </c>
      <c r="F29" s="115">
        <v>9</v>
      </c>
      <c r="G29" s="115">
        <v>9</v>
      </c>
      <c r="H29" s="115">
        <v>9</v>
      </c>
      <c r="I29" s="115">
        <v>9</v>
      </c>
      <c r="J29" s="115">
        <v>7</v>
      </c>
      <c r="K29" s="115">
        <v>9</v>
      </c>
      <c r="L29" s="115">
        <v>9</v>
      </c>
      <c r="M29" s="115">
        <v>9</v>
      </c>
      <c r="N29" s="115">
        <v>9</v>
      </c>
      <c r="O29" s="115">
        <v>9</v>
      </c>
      <c r="P29" s="115">
        <v>9</v>
      </c>
      <c r="Q29" s="115">
        <v>9</v>
      </c>
      <c r="R29" s="115">
        <v>9</v>
      </c>
      <c r="S29" s="115">
        <v>9</v>
      </c>
      <c r="T29" s="115">
        <v>9</v>
      </c>
      <c r="U29" s="128">
        <v>9</v>
      </c>
      <c r="V29" s="115">
        <v>9</v>
      </c>
      <c r="W29" s="180">
        <v>2</v>
      </c>
    </row>
    <row r="30" spans="1:23" ht="13" x14ac:dyDescent="0.3">
      <c r="A30" s="7"/>
      <c r="B30" s="121" t="s">
        <v>178</v>
      </c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2"/>
      <c r="Q30" s="122"/>
      <c r="R30" s="122"/>
      <c r="S30" s="122"/>
      <c r="T30" s="122"/>
      <c r="U30" s="125"/>
      <c r="V30" s="122"/>
      <c r="W30" s="185"/>
    </row>
    <row r="31" spans="1:23" x14ac:dyDescent="0.25">
      <c r="A31" s="1"/>
      <c r="B31" s="120" t="s">
        <v>181</v>
      </c>
      <c r="C31" s="115" t="s">
        <v>179</v>
      </c>
      <c r="D31" s="114" t="s">
        <v>15</v>
      </c>
      <c r="E31" s="115">
        <v>1.4</v>
      </c>
      <c r="F31" s="115">
        <v>1.4</v>
      </c>
      <c r="G31" s="115">
        <v>1.4</v>
      </c>
      <c r="H31" s="115">
        <v>1.4</v>
      </c>
      <c r="I31" s="115">
        <v>1.4</v>
      </c>
      <c r="J31" s="115">
        <v>1.4</v>
      </c>
      <c r="K31" s="115">
        <v>1.4</v>
      </c>
      <c r="L31" s="115">
        <v>1.4</v>
      </c>
      <c r="M31" s="115">
        <v>1.4</v>
      </c>
      <c r="N31" s="115">
        <v>1.4</v>
      </c>
      <c r="O31" s="115">
        <v>1.4</v>
      </c>
      <c r="P31" s="115">
        <v>1.4</v>
      </c>
      <c r="Q31" s="115">
        <v>1.4</v>
      </c>
      <c r="R31" s="115">
        <v>1.4</v>
      </c>
      <c r="S31" s="115">
        <v>1.4</v>
      </c>
      <c r="T31" s="115">
        <v>1.4</v>
      </c>
      <c r="U31" s="128">
        <v>1.17</v>
      </c>
      <c r="V31" s="115">
        <v>1.17</v>
      </c>
      <c r="W31" s="180">
        <v>1.17</v>
      </c>
    </row>
    <row r="32" spans="1:23" x14ac:dyDescent="0.25">
      <c r="A32" s="1"/>
      <c r="B32" s="120" t="s">
        <v>182</v>
      </c>
      <c r="C32" s="115" t="s">
        <v>180</v>
      </c>
      <c r="D32" s="114" t="s">
        <v>15</v>
      </c>
      <c r="E32" s="115">
        <v>0.7</v>
      </c>
      <c r="F32" s="115">
        <v>0.7</v>
      </c>
      <c r="G32" s="115">
        <v>0.7</v>
      </c>
      <c r="H32" s="115">
        <v>0.7</v>
      </c>
      <c r="I32" s="115">
        <v>0.7</v>
      </c>
      <c r="J32" s="115">
        <v>0.7</v>
      </c>
      <c r="K32" s="115">
        <v>0.7</v>
      </c>
      <c r="L32" s="115">
        <v>0.7</v>
      </c>
      <c r="M32" s="115">
        <v>0.7</v>
      </c>
      <c r="N32" s="115">
        <v>0.7</v>
      </c>
      <c r="O32" s="115">
        <v>0.7</v>
      </c>
      <c r="P32" s="115">
        <v>0.7</v>
      </c>
      <c r="Q32" s="115">
        <v>0.7</v>
      </c>
      <c r="R32" s="115">
        <v>0.7</v>
      </c>
      <c r="S32" s="115">
        <v>0.7</v>
      </c>
      <c r="T32" s="115">
        <v>0.7</v>
      </c>
      <c r="U32" s="128">
        <v>1</v>
      </c>
      <c r="V32" s="115">
        <v>1</v>
      </c>
      <c r="W32" s="180">
        <v>1</v>
      </c>
    </row>
    <row r="33" spans="1:23" ht="13" x14ac:dyDescent="0.3">
      <c r="A33" s="7"/>
      <c r="B33" s="121" t="s">
        <v>54</v>
      </c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  <c r="N33" s="122"/>
      <c r="O33" s="122"/>
      <c r="P33" s="122"/>
      <c r="Q33" s="122"/>
      <c r="R33" s="122"/>
      <c r="S33" s="122"/>
      <c r="T33" s="122"/>
      <c r="U33" s="125"/>
      <c r="V33" s="122"/>
      <c r="W33" s="185"/>
    </row>
    <row r="34" spans="1:23" x14ac:dyDescent="0.25">
      <c r="A34" s="1"/>
      <c r="B34" s="120" t="s">
        <v>55</v>
      </c>
      <c r="C34" s="115" t="s">
        <v>56</v>
      </c>
      <c r="D34" s="114" t="s">
        <v>15</v>
      </c>
      <c r="E34" s="115">
        <v>0</v>
      </c>
      <c r="F34" s="115">
        <v>0</v>
      </c>
      <c r="G34" s="115">
        <v>0</v>
      </c>
      <c r="H34" s="115">
        <v>0</v>
      </c>
      <c r="I34" s="115">
        <v>0</v>
      </c>
      <c r="J34" s="115">
        <v>0</v>
      </c>
      <c r="K34" s="115">
        <v>0</v>
      </c>
      <c r="L34" s="115">
        <v>0</v>
      </c>
      <c r="M34" s="115">
        <v>0</v>
      </c>
      <c r="N34" s="115">
        <v>0</v>
      </c>
      <c r="O34" s="115">
        <v>0</v>
      </c>
      <c r="P34" s="115">
        <v>0</v>
      </c>
      <c r="Q34" s="115">
        <v>0</v>
      </c>
      <c r="R34" s="115">
        <v>0</v>
      </c>
      <c r="S34" s="115">
        <v>0.1</v>
      </c>
      <c r="T34" s="115">
        <v>0.1</v>
      </c>
      <c r="U34" s="128">
        <v>0</v>
      </c>
      <c r="V34" s="115">
        <v>0</v>
      </c>
      <c r="W34" s="180">
        <v>0</v>
      </c>
    </row>
    <row r="35" spans="1:23" x14ac:dyDescent="0.25">
      <c r="A35" s="1"/>
      <c r="B35" s="120" t="s">
        <v>57</v>
      </c>
      <c r="C35" s="115" t="s">
        <v>58</v>
      </c>
      <c r="D35" s="114" t="s">
        <v>15</v>
      </c>
      <c r="E35" s="115">
        <v>1</v>
      </c>
      <c r="F35" s="115">
        <v>1</v>
      </c>
      <c r="G35" s="115">
        <v>1</v>
      </c>
      <c r="H35" s="115">
        <v>0.6</v>
      </c>
      <c r="I35" s="115">
        <v>0.6</v>
      </c>
      <c r="J35" s="115">
        <v>0.6</v>
      </c>
      <c r="K35" s="115">
        <v>1</v>
      </c>
      <c r="L35" s="115">
        <v>1</v>
      </c>
      <c r="M35" s="115">
        <v>1</v>
      </c>
      <c r="N35" s="115">
        <v>0.37</v>
      </c>
      <c r="O35" s="115">
        <v>1</v>
      </c>
      <c r="P35" s="115">
        <v>1</v>
      </c>
      <c r="Q35" s="115">
        <v>0.3</v>
      </c>
      <c r="R35" s="115">
        <v>1</v>
      </c>
      <c r="S35" s="115">
        <v>0.5</v>
      </c>
      <c r="T35" s="115">
        <v>0.5</v>
      </c>
      <c r="U35" s="128">
        <v>0.3</v>
      </c>
      <c r="V35" s="115">
        <v>0.3</v>
      </c>
      <c r="W35" s="180">
        <v>0.6</v>
      </c>
    </row>
    <row r="36" spans="1:23" x14ac:dyDescent="0.25">
      <c r="A36" s="1"/>
      <c r="B36" s="120" t="s">
        <v>59</v>
      </c>
      <c r="C36" s="115" t="s">
        <v>60</v>
      </c>
      <c r="D36" s="114" t="s">
        <v>15</v>
      </c>
      <c r="E36" s="115">
        <v>0</v>
      </c>
      <c r="F36" s="115">
        <v>0</v>
      </c>
      <c r="G36" s="115">
        <v>0</v>
      </c>
      <c r="H36" s="115">
        <v>1</v>
      </c>
      <c r="I36" s="115">
        <v>1</v>
      </c>
      <c r="J36" s="115">
        <v>1</v>
      </c>
      <c r="K36" s="115">
        <v>1</v>
      </c>
      <c r="L36" s="115">
        <v>0</v>
      </c>
      <c r="M36" s="115">
        <v>0</v>
      </c>
      <c r="N36" s="115">
        <v>1</v>
      </c>
      <c r="O36" s="115">
        <v>0</v>
      </c>
      <c r="P36" s="115">
        <v>0</v>
      </c>
      <c r="Q36" s="115">
        <v>1</v>
      </c>
      <c r="R36" s="115">
        <v>0</v>
      </c>
      <c r="S36" s="115">
        <v>0</v>
      </c>
      <c r="T36" s="115">
        <v>0</v>
      </c>
      <c r="U36" s="128">
        <v>1</v>
      </c>
      <c r="V36" s="115">
        <v>1</v>
      </c>
      <c r="W36" s="180">
        <v>1</v>
      </c>
    </row>
    <row r="37" spans="1:23" ht="13" x14ac:dyDescent="0.3">
      <c r="A37" s="7"/>
      <c r="B37" s="121" t="s">
        <v>61</v>
      </c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5"/>
      <c r="V37" s="122"/>
      <c r="W37" s="185"/>
    </row>
    <row r="38" spans="1:23" x14ac:dyDescent="0.25">
      <c r="A38" s="1"/>
      <c r="B38" s="120" t="s">
        <v>62</v>
      </c>
      <c r="C38" s="114" t="s">
        <v>63</v>
      </c>
      <c r="D38" s="114" t="s">
        <v>64</v>
      </c>
      <c r="E38" s="114">
        <v>50</v>
      </c>
      <c r="F38" s="114">
        <v>50</v>
      </c>
      <c r="G38" s="114">
        <v>50</v>
      </c>
      <c r="H38" s="114">
        <v>50</v>
      </c>
      <c r="I38" s="114">
        <v>50</v>
      </c>
      <c r="J38" s="114">
        <v>20</v>
      </c>
      <c r="K38" s="114">
        <v>50</v>
      </c>
      <c r="L38" s="114">
        <v>50</v>
      </c>
      <c r="M38" s="114">
        <v>50</v>
      </c>
      <c r="N38" s="114">
        <v>300</v>
      </c>
      <c r="O38" s="114">
        <v>200</v>
      </c>
      <c r="P38" s="114">
        <v>200</v>
      </c>
      <c r="Q38" s="114">
        <v>300</v>
      </c>
      <c r="R38" s="114">
        <v>200</v>
      </c>
      <c r="S38" s="115">
        <v>35</v>
      </c>
      <c r="T38" s="115">
        <v>200</v>
      </c>
      <c r="U38" s="128">
        <v>300</v>
      </c>
      <c r="V38" s="114">
        <v>200</v>
      </c>
      <c r="W38" s="180">
        <v>150</v>
      </c>
    </row>
    <row r="39" spans="1:23" x14ac:dyDescent="0.25">
      <c r="A39" s="1"/>
      <c r="B39" s="120" t="s">
        <v>65</v>
      </c>
      <c r="C39" s="114" t="s">
        <v>66</v>
      </c>
      <c r="D39" s="114" t="s">
        <v>15</v>
      </c>
      <c r="E39" s="114">
        <v>4</v>
      </c>
      <c r="F39" s="114">
        <v>4</v>
      </c>
      <c r="G39" s="114">
        <v>4</v>
      </c>
      <c r="H39" s="114">
        <v>4</v>
      </c>
      <c r="I39" s="114">
        <v>4</v>
      </c>
      <c r="J39" s="114">
        <v>5.7</v>
      </c>
      <c r="K39" s="114">
        <v>4</v>
      </c>
      <c r="L39" s="114">
        <v>4</v>
      </c>
      <c r="M39" s="114">
        <v>4</v>
      </c>
      <c r="N39" s="114">
        <v>4</v>
      </c>
      <c r="O39" s="114">
        <v>4</v>
      </c>
      <c r="P39" s="114">
        <v>4</v>
      </c>
      <c r="Q39" s="114">
        <v>4</v>
      </c>
      <c r="R39" s="114">
        <v>4</v>
      </c>
      <c r="S39" s="115">
        <v>3</v>
      </c>
      <c r="T39" s="115">
        <v>1.5</v>
      </c>
      <c r="U39" s="128">
        <v>4</v>
      </c>
      <c r="V39" s="114">
        <v>1.5</v>
      </c>
      <c r="W39" s="180">
        <v>4</v>
      </c>
    </row>
    <row r="40" spans="1:23" x14ac:dyDescent="0.25">
      <c r="A40" s="1"/>
      <c r="B40" s="120" t="s">
        <v>67</v>
      </c>
      <c r="C40" s="114" t="s">
        <v>68</v>
      </c>
      <c r="D40" s="114" t="s">
        <v>15</v>
      </c>
      <c r="E40" s="114">
        <v>0.95</v>
      </c>
      <c r="F40" s="114">
        <v>0.95</v>
      </c>
      <c r="G40" s="114">
        <v>0.95</v>
      </c>
      <c r="H40" s="114">
        <v>0.5</v>
      </c>
      <c r="I40" s="114">
        <v>0.5</v>
      </c>
      <c r="J40" s="114">
        <v>0.86</v>
      </c>
      <c r="K40" s="115">
        <v>0.95</v>
      </c>
      <c r="L40" s="114">
        <v>0.95</v>
      </c>
      <c r="M40" s="114">
        <v>0.95</v>
      </c>
      <c r="N40" s="114">
        <v>0.95</v>
      </c>
      <c r="O40" s="114">
        <v>0.95</v>
      </c>
      <c r="P40" s="114">
        <v>0.95</v>
      </c>
      <c r="Q40" s="114">
        <v>0.95</v>
      </c>
      <c r="R40" s="114">
        <v>0.95</v>
      </c>
      <c r="S40" s="115">
        <v>0.2</v>
      </c>
      <c r="T40" s="115">
        <v>5</v>
      </c>
      <c r="U40" s="128">
        <v>0.95</v>
      </c>
      <c r="V40" s="114">
        <v>0.95</v>
      </c>
      <c r="W40" s="180">
        <v>0.95</v>
      </c>
    </row>
    <row r="41" spans="1:23" ht="21.75" customHeight="1" x14ac:dyDescent="0.35">
      <c r="A41" s="1"/>
      <c r="B41" s="119" t="s">
        <v>69</v>
      </c>
      <c r="C41" s="114"/>
      <c r="D41" s="114"/>
      <c r="E41" s="114"/>
      <c r="F41" s="122"/>
      <c r="G41" s="122"/>
      <c r="H41" s="122"/>
      <c r="I41" s="122"/>
      <c r="J41" s="114"/>
      <c r="K41" s="115"/>
      <c r="L41" s="114"/>
      <c r="M41" s="114"/>
      <c r="N41" s="114"/>
      <c r="O41" s="114"/>
      <c r="P41" s="114"/>
      <c r="Q41" s="114"/>
      <c r="R41" s="114"/>
      <c r="S41" s="122"/>
      <c r="T41" s="122"/>
      <c r="U41" s="125"/>
      <c r="V41" s="122"/>
      <c r="W41" s="185"/>
    </row>
    <row r="42" spans="1:23" x14ac:dyDescent="0.25">
      <c r="A42" s="1"/>
      <c r="B42" s="120" t="s">
        <v>70</v>
      </c>
      <c r="C42" s="115" t="s">
        <v>71</v>
      </c>
      <c r="D42" s="114" t="s">
        <v>72</v>
      </c>
      <c r="E42" s="115">
        <v>0</v>
      </c>
      <c r="F42" s="115">
        <v>3.32</v>
      </c>
      <c r="G42" s="115">
        <v>3.32</v>
      </c>
      <c r="H42" s="115">
        <v>0.90200000000000002</v>
      </c>
      <c r="I42" s="115">
        <v>0.90200000000000002</v>
      </c>
      <c r="J42" s="115">
        <v>1.8</v>
      </c>
      <c r="K42" s="115">
        <v>0</v>
      </c>
      <c r="L42" s="115">
        <v>0</v>
      </c>
      <c r="M42" s="115">
        <v>0</v>
      </c>
      <c r="N42" s="115">
        <v>0</v>
      </c>
      <c r="O42" s="115">
        <v>0</v>
      </c>
      <c r="P42" s="115">
        <v>0</v>
      </c>
      <c r="Q42" s="115">
        <v>0</v>
      </c>
      <c r="R42" s="115">
        <v>0</v>
      </c>
      <c r="S42" s="115">
        <v>0.39200000000000002</v>
      </c>
      <c r="T42" s="115">
        <v>0.45400000000000001</v>
      </c>
      <c r="U42" s="128">
        <v>0</v>
      </c>
      <c r="V42" s="115">
        <v>0.90200000000000002</v>
      </c>
      <c r="W42" s="185">
        <v>0</v>
      </c>
    </row>
    <row r="43" spans="1:23" x14ac:dyDescent="0.25">
      <c r="A43" s="1"/>
      <c r="B43" s="120" t="s">
        <v>73</v>
      </c>
      <c r="C43" s="115" t="s">
        <v>74</v>
      </c>
      <c r="D43" s="114" t="s">
        <v>72</v>
      </c>
      <c r="E43" s="115">
        <v>0</v>
      </c>
      <c r="F43" s="115">
        <v>1</v>
      </c>
      <c r="G43" s="115">
        <v>1</v>
      </c>
      <c r="H43" s="115">
        <v>0.875</v>
      </c>
      <c r="I43" s="115">
        <v>0.875</v>
      </c>
      <c r="J43" s="115">
        <v>0.7</v>
      </c>
      <c r="K43" s="115">
        <v>0</v>
      </c>
      <c r="L43" s="115">
        <v>0</v>
      </c>
      <c r="M43" s="115">
        <v>0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2.3199999999999998</v>
      </c>
      <c r="T43" s="115">
        <v>1.73</v>
      </c>
      <c r="U43" s="128">
        <v>0</v>
      </c>
      <c r="V43" s="115">
        <v>0.875</v>
      </c>
      <c r="W43" s="185">
        <v>0</v>
      </c>
    </row>
    <row r="44" spans="1:23" x14ac:dyDescent="0.25">
      <c r="A44" s="1"/>
      <c r="B44" s="120" t="s">
        <v>75</v>
      </c>
      <c r="C44" s="115" t="s">
        <v>76</v>
      </c>
      <c r="D44" s="114" t="s">
        <v>64</v>
      </c>
      <c r="E44" s="115">
        <v>0</v>
      </c>
      <c r="F44" s="115">
        <v>8.3832000000000004</v>
      </c>
      <c r="G44" s="115">
        <v>8.3832000000000004</v>
      </c>
      <c r="H44" s="115">
        <v>42</v>
      </c>
      <c r="I44" s="115">
        <v>42</v>
      </c>
      <c r="J44" s="115">
        <v>9</v>
      </c>
      <c r="K44" s="115">
        <v>0</v>
      </c>
      <c r="L44" s="115">
        <v>2</v>
      </c>
      <c r="M44" s="115">
        <v>2</v>
      </c>
      <c r="N44" s="115">
        <v>0</v>
      </c>
      <c r="O44" s="115">
        <v>0</v>
      </c>
      <c r="P44" s="115">
        <v>0</v>
      </c>
      <c r="Q44" s="115">
        <v>0</v>
      </c>
      <c r="R44" s="115">
        <v>0</v>
      </c>
      <c r="S44" s="115">
        <v>10.8528</v>
      </c>
      <c r="T44" s="115">
        <v>8</v>
      </c>
      <c r="U44" s="128">
        <v>0</v>
      </c>
      <c r="V44" s="115">
        <v>42</v>
      </c>
      <c r="W44" s="185">
        <v>0</v>
      </c>
    </row>
    <row r="45" spans="1:23" x14ac:dyDescent="0.25">
      <c r="A45" s="1"/>
      <c r="B45" s="120" t="s">
        <v>77</v>
      </c>
      <c r="C45" s="115" t="s">
        <v>78</v>
      </c>
      <c r="D45" s="114" t="s">
        <v>15</v>
      </c>
      <c r="E45" s="115">
        <v>1</v>
      </c>
      <c r="F45" s="115">
        <v>1</v>
      </c>
      <c r="G45" s="115">
        <v>1</v>
      </c>
      <c r="H45" s="115">
        <v>2</v>
      </c>
      <c r="I45" s="115">
        <v>2</v>
      </c>
      <c r="J45" s="115">
        <v>1</v>
      </c>
      <c r="K45" s="115">
        <v>1</v>
      </c>
      <c r="L45" s="115">
        <v>1</v>
      </c>
      <c r="M45" s="115">
        <v>1</v>
      </c>
      <c r="N45" s="115">
        <v>1</v>
      </c>
      <c r="O45" s="115">
        <v>1</v>
      </c>
      <c r="P45" s="115">
        <v>1</v>
      </c>
      <c r="Q45" s="115">
        <v>1</v>
      </c>
      <c r="R45" s="115">
        <v>1</v>
      </c>
      <c r="S45" s="115">
        <v>1</v>
      </c>
      <c r="T45" s="115">
        <v>1</v>
      </c>
      <c r="U45" s="128">
        <v>1</v>
      </c>
      <c r="V45" s="115">
        <v>2</v>
      </c>
      <c r="W45" s="185">
        <v>1</v>
      </c>
    </row>
    <row r="46" spans="1:23" x14ac:dyDescent="0.25">
      <c r="A46" s="1"/>
      <c r="B46" s="120" t="s">
        <v>79</v>
      </c>
      <c r="C46" s="115" t="s">
        <v>80</v>
      </c>
      <c r="D46" s="114" t="s">
        <v>81</v>
      </c>
      <c r="E46" s="115">
        <v>300</v>
      </c>
      <c r="F46" s="115">
        <v>300</v>
      </c>
      <c r="G46" s="115">
        <v>300</v>
      </c>
      <c r="H46" s="115">
        <v>260</v>
      </c>
      <c r="I46" s="115">
        <v>260</v>
      </c>
      <c r="J46" s="115">
        <v>285</v>
      </c>
      <c r="K46" s="114">
        <v>300</v>
      </c>
      <c r="L46" s="115">
        <v>300</v>
      </c>
      <c r="M46" s="115">
        <v>300</v>
      </c>
      <c r="N46" s="115">
        <v>300</v>
      </c>
      <c r="O46" s="115">
        <v>50</v>
      </c>
      <c r="P46" s="115">
        <v>50</v>
      </c>
      <c r="Q46" s="115">
        <v>300</v>
      </c>
      <c r="R46" s="115">
        <v>300</v>
      </c>
      <c r="S46" s="115">
        <v>235</v>
      </c>
      <c r="T46" s="115">
        <v>178.02</v>
      </c>
      <c r="U46" s="128">
        <v>300</v>
      </c>
      <c r="V46" s="115">
        <v>434.6</v>
      </c>
      <c r="W46" s="185">
        <v>220</v>
      </c>
    </row>
    <row r="47" spans="1:23" x14ac:dyDescent="0.25">
      <c r="A47" s="1"/>
      <c r="B47" s="120" t="s">
        <v>82</v>
      </c>
      <c r="C47" s="115" t="s">
        <v>83</v>
      </c>
      <c r="D47" s="114" t="s">
        <v>15</v>
      </c>
      <c r="E47" s="115">
        <v>1.5</v>
      </c>
      <c r="F47" s="115">
        <v>1.5</v>
      </c>
      <c r="G47" s="115">
        <v>1.5</v>
      </c>
      <c r="H47" s="115">
        <v>1.5</v>
      </c>
      <c r="I47" s="115">
        <v>1.5</v>
      </c>
      <c r="J47" s="115">
        <v>1.5</v>
      </c>
      <c r="K47" s="115">
        <v>1.5</v>
      </c>
      <c r="L47" s="115">
        <v>1.5</v>
      </c>
      <c r="M47" s="115">
        <v>1.5</v>
      </c>
      <c r="N47" s="115">
        <v>1.5</v>
      </c>
      <c r="O47" s="115">
        <v>1.5</v>
      </c>
      <c r="P47" s="115">
        <v>1.5</v>
      </c>
      <c r="Q47" s="115">
        <v>1.5</v>
      </c>
      <c r="R47" s="115">
        <v>1.5</v>
      </c>
      <c r="S47" s="115">
        <v>1.7</v>
      </c>
      <c r="T47" s="115">
        <v>1.4690000000000001</v>
      </c>
      <c r="U47" s="128">
        <v>1.5</v>
      </c>
      <c r="V47" s="115">
        <v>1.6077999999999999</v>
      </c>
      <c r="W47" s="185">
        <v>1.5</v>
      </c>
    </row>
    <row r="48" spans="1:23" x14ac:dyDescent="0.25">
      <c r="A48" s="1"/>
      <c r="B48" s="120" t="s">
        <v>84</v>
      </c>
      <c r="C48" s="115" t="s">
        <v>85</v>
      </c>
      <c r="D48" s="114" t="s">
        <v>15</v>
      </c>
      <c r="E48" s="115">
        <v>0</v>
      </c>
      <c r="F48" s="115">
        <v>0.32</v>
      </c>
      <c r="G48" s="115">
        <v>0.32</v>
      </c>
      <c r="H48" s="115">
        <v>0</v>
      </c>
      <c r="I48" s="115">
        <v>0</v>
      </c>
      <c r="J48" s="115">
        <v>0</v>
      </c>
      <c r="K48" s="115">
        <v>0</v>
      </c>
      <c r="L48" s="115">
        <v>0</v>
      </c>
      <c r="M48" s="115">
        <v>0</v>
      </c>
      <c r="N48" s="115">
        <v>0</v>
      </c>
      <c r="O48" s="115">
        <v>0</v>
      </c>
      <c r="P48" s="115">
        <v>0</v>
      </c>
      <c r="Q48" s="115">
        <v>0</v>
      </c>
      <c r="R48" s="115">
        <v>0</v>
      </c>
      <c r="S48" s="115">
        <v>0</v>
      </c>
      <c r="T48" s="115">
        <v>0</v>
      </c>
      <c r="U48" s="128">
        <v>0</v>
      </c>
      <c r="V48" s="115">
        <v>0</v>
      </c>
      <c r="W48" s="185">
        <v>1</v>
      </c>
    </row>
    <row r="49" spans="1:23" x14ac:dyDescent="0.25">
      <c r="A49" s="1"/>
      <c r="B49" s="120" t="s">
        <v>86</v>
      </c>
      <c r="C49" s="115" t="s">
        <v>87</v>
      </c>
      <c r="D49" s="114" t="s">
        <v>15</v>
      </c>
      <c r="E49" s="115">
        <v>0.2</v>
      </c>
      <c r="F49" s="115">
        <v>0.32</v>
      </c>
      <c r="G49" s="115">
        <v>0.32</v>
      </c>
      <c r="H49" s="115">
        <v>0.2</v>
      </c>
      <c r="I49" s="115">
        <v>0.2</v>
      </c>
      <c r="J49" s="115">
        <v>0.2</v>
      </c>
      <c r="K49" s="115">
        <v>0.2</v>
      </c>
      <c r="L49" s="115">
        <v>0.2</v>
      </c>
      <c r="M49" s="115">
        <v>0.2</v>
      </c>
      <c r="N49" s="115">
        <v>0.2</v>
      </c>
      <c r="O49" s="115">
        <v>0.2</v>
      </c>
      <c r="P49" s="115">
        <v>0.2</v>
      </c>
      <c r="Q49" s="115">
        <v>0.2</v>
      </c>
      <c r="R49" s="115">
        <v>0.2</v>
      </c>
      <c r="S49" s="115">
        <v>0.2</v>
      </c>
      <c r="T49" s="115">
        <v>0.2</v>
      </c>
      <c r="U49" s="128">
        <v>0.2</v>
      </c>
      <c r="V49" s="115">
        <v>0.2</v>
      </c>
      <c r="W49" s="185">
        <v>1</v>
      </c>
    </row>
    <row r="50" spans="1:23" x14ac:dyDescent="0.25">
      <c r="A50" s="1"/>
      <c r="B50" s="120" t="s">
        <v>88</v>
      </c>
      <c r="C50" s="115" t="s">
        <v>89</v>
      </c>
      <c r="D50" s="114" t="s">
        <v>15</v>
      </c>
      <c r="E50" s="115">
        <v>0.2</v>
      </c>
      <c r="F50" s="115">
        <v>0.32</v>
      </c>
      <c r="G50" s="115">
        <v>0.32</v>
      </c>
      <c r="H50" s="115">
        <v>0.2</v>
      </c>
      <c r="I50" s="115">
        <v>0.2</v>
      </c>
      <c r="J50" s="115">
        <v>0.2</v>
      </c>
      <c r="K50" s="115">
        <v>0.2</v>
      </c>
      <c r="L50" s="115">
        <v>0.2</v>
      </c>
      <c r="M50" s="115">
        <v>0.2</v>
      </c>
      <c r="N50" s="115">
        <v>0.2</v>
      </c>
      <c r="O50" s="115">
        <v>0.2</v>
      </c>
      <c r="P50" s="115">
        <v>0.2</v>
      </c>
      <c r="Q50" s="115">
        <v>0.2</v>
      </c>
      <c r="R50" s="115">
        <v>0.2</v>
      </c>
      <c r="S50" s="115">
        <v>0.4</v>
      </c>
      <c r="T50" s="115">
        <v>0.4</v>
      </c>
      <c r="U50" s="128">
        <v>0.2</v>
      </c>
      <c r="V50" s="115">
        <v>0.4</v>
      </c>
      <c r="W50" s="185">
        <v>1</v>
      </c>
    </row>
    <row r="51" spans="1:23" ht="21.75" customHeight="1" x14ac:dyDescent="0.35">
      <c r="A51" s="1"/>
      <c r="B51" s="119" t="s">
        <v>90</v>
      </c>
      <c r="C51" s="114"/>
      <c r="D51" s="114"/>
      <c r="E51" s="114"/>
      <c r="F51" s="122"/>
      <c r="G51" s="122"/>
      <c r="H51" s="122"/>
      <c r="I51" s="122"/>
      <c r="J51" s="114"/>
      <c r="K51" s="114"/>
      <c r="L51" s="114"/>
      <c r="M51" s="114"/>
      <c r="N51" s="114"/>
      <c r="O51" s="114"/>
      <c r="P51" s="114"/>
      <c r="Q51" s="114"/>
      <c r="R51" s="114"/>
      <c r="S51" s="122"/>
      <c r="T51" s="122"/>
      <c r="U51" s="125"/>
      <c r="V51" s="122"/>
      <c r="W51" s="185"/>
    </row>
    <row r="52" spans="1:23" ht="13" x14ac:dyDescent="0.3">
      <c r="A52" s="7"/>
      <c r="B52" s="121" t="s">
        <v>91</v>
      </c>
      <c r="C52" s="122"/>
      <c r="D52" s="122"/>
      <c r="E52" s="122"/>
      <c r="F52" s="122"/>
      <c r="G52" s="122"/>
      <c r="H52" s="122"/>
      <c r="I52" s="122"/>
      <c r="J52" s="122"/>
      <c r="K52" s="114"/>
      <c r="L52" s="122"/>
      <c r="M52" s="122"/>
      <c r="N52" s="122"/>
      <c r="O52" s="122"/>
      <c r="P52" s="122"/>
      <c r="Q52" s="122"/>
      <c r="R52" s="122"/>
      <c r="S52" s="122"/>
      <c r="T52" s="122"/>
      <c r="U52" s="125"/>
      <c r="V52" s="122"/>
      <c r="W52" s="185"/>
    </row>
    <row r="53" spans="1:23" ht="14.5" x14ac:dyDescent="0.25">
      <c r="A53" s="1"/>
      <c r="B53" s="120" t="s">
        <v>92</v>
      </c>
      <c r="C53" s="115" t="s">
        <v>93</v>
      </c>
      <c r="D53" s="114" t="s">
        <v>170</v>
      </c>
      <c r="E53" s="115">
        <v>6</v>
      </c>
      <c r="F53" s="115">
        <v>11</v>
      </c>
      <c r="G53" s="115">
        <v>13.1</v>
      </c>
      <c r="H53" s="115">
        <v>5</v>
      </c>
      <c r="I53" s="115">
        <v>4</v>
      </c>
      <c r="J53" s="115">
        <v>12.5</v>
      </c>
      <c r="K53" s="114">
        <v>11</v>
      </c>
      <c r="L53" s="115">
        <v>9</v>
      </c>
      <c r="M53" s="115">
        <v>6</v>
      </c>
      <c r="N53" s="115">
        <v>5.5</v>
      </c>
      <c r="O53" s="115">
        <v>4</v>
      </c>
      <c r="P53" s="115">
        <v>2</v>
      </c>
      <c r="Q53" s="115">
        <v>3.1</v>
      </c>
      <c r="R53" s="115">
        <v>4.2</v>
      </c>
      <c r="S53" s="115">
        <v>6.4</v>
      </c>
      <c r="T53" s="115">
        <v>4.9974999999999996</v>
      </c>
      <c r="U53" s="128">
        <v>5.5</v>
      </c>
      <c r="V53" s="115">
        <v>5</v>
      </c>
      <c r="W53" s="185">
        <v>5.79</v>
      </c>
    </row>
    <row r="54" spans="1:23" ht="14.5" x14ac:dyDescent="0.25">
      <c r="A54" s="1"/>
      <c r="B54" s="120" t="s">
        <v>94</v>
      </c>
      <c r="C54" s="115" t="s">
        <v>95</v>
      </c>
      <c r="D54" s="114" t="s">
        <v>170</v>
      </c>
      <c r="E54" s="115">
        <v>6</v>
      </c>
      <c r="F54" s="115">
        <v>4</v>
      </c>
      <c r="G54" s="115">
        <v>4.2</v>
      </c>
      <c r="H54" s="115">
        <v>5</v>
      </c>
      <c r="I54" s="115">
        <v>4</v>
      </c>
      <c r="J54" s="115">
        <v>4.2</v>
      </c>
      <c r="K54" s="115">
        <v>4</v>
      </c>
      <c r="L54" s="115">
        <v>4</v>
      </c>
      <c r="M54" s="115">
        <v>4</v>
      </c>
      <c r="N54" s="115">
        <v>5.5</v>
      </c>
      <c r="O54" s="115">
        <v>3.88</v>
      </c>
      <c r="P54" s="115">
        <v>1.86</v>
      </c>
      <c r="Q54" s="115">
        <v>3.1</v>
      </c>
      <c r="R54" s="115">
        <v>4.2</v>
      </c>
      <c r="S54" s="115">
        <v>6</v>
      </c>
      <c r="T54" s="115">
        <v>3.4279999999999999</v>
      </c>
      <c r="U54" s="128">
        <v>5.5</v>
      </c>
      <c r="V54" s="115">
        <v>4.5</v>
      </c>
      <c r="W54" s="185">
        <v>3.1</v>
      </c>
    </row>
    <row r="55" spans="1:23" x14ac:dyDescent="0.25">
      <c r="A55" s="1"/>
      <c r="B55" s="120" t="s">
        <v>96</v>
      </c>
      <c r="C55" s="115" t="s">
        <v>97</v>
      </c>
      <c r="D55" s="114" t="s">
        <v>64</v>
      </c>
      <c r="E55" s="115">
        <v>2.5</v>
      </c>
      <c r="F55" s="115">
        <v>2.5</v>
      </c>
      <c r="G55" s="115">
        <v>1.5</v>
      </c>
      <c r="H55" s="115">
        <v>2</v>
      </c>
      <c r="I55" s="115">
        <v>2</v>
      </c>
      <c r="J55" s="115">
        <v>4</v>
      </c>
      <c r="K55" s="115">
        <v>2.5</v>
      </c>
      <c r="L55" s="115">
        <v>2.5</v>
      </c>
      <c r="M55" s="115">
        <v>2.5</v>
      </c>
      <c r="N55" s="115">
        <v>3</v>
      </c>
      <c r="O55" s="115">
        <v>10</v>
      </c>
      <c r="P55" s="115">
        <v>10</v>
      </c>
      <c r="Q55" s="115">
        <v>2.5</v>
      </c>
      <c r="R55" s="115">
        <v>2.5</v>
      </c>
      <c r="S55" s="115">
        <v>4</v>
      </c>
      <c r="T55" s="115">
        <v>7.7885</v>
      </c>
      <c r="U55" s="128">
        <v>3</v>
      </c>
      <c r="V55" s="115">
        <v>2</v>
      </c>
      <c r="W55" s="185">
        <v>2</v>
      </c>
    </row>
    <row r="56" spans="1:23" ht="13" x14ac:dyDescent="0.3">
      <c r="A56" s="7"/>
      <c r="B56" s="121" t="s">
        <v>98</v>
      </c>
      <c r="C56" s="122"/>
      <c r="D56" s="122"/>
      <c r="E56" s="122"/>
      <c r="F56" s="122"/>
      <c r="G56" s="122"/>
      <c r="H56" s="122"/>
      <c r="I56" s="122"/>
      <c r="J56" s="122"/>
      <c r="K56" s="115"/>
      <c r="L56" s="115"/>
      <c r="M56" s="115"/>
      <c r="N56" s="122"/>
      <c r="O56" s="122"/>
      <c r="P56" s="122"/>
      <c r="Q56" s="122"/>
      <c r="R56" s="122"/>
      <c r="S56" s="122"/>
      <c r="T56" s="122"/>
      <c r="U56" s="125"/>
      <c r="V56" s="122"/>
      <c r="W56" s="185"/>
    </row>
    <row r="57" spans="1:23" x14ac:dyDescent="0.25">
      <c r="A57" s="1"/>
      <c r="B57" s="120" t="s">
        <v>99</v>
      </c>
      <c r="C57" s="115" t="s">
        <v>100</v>
      </c>
      <c r="D57" s="114" t="s">
        <v>15</v>
      </c>
      <c r="E57" s="115">
        <v>0.5</v>
      </c>
      <c r="F57" s="115">
        <v>0.5</v>
      </c>
      <c r="G57" s="115">
        <v>0.5</v>
      </c>
      <c r="H57" s="115">
        <v>0.5</v>
      </c>
      <c r="I57" s="115">
        <v>0.5</v>
      </c>
      <c r="J57" s="115">
        <v>0.5</v>
      </c>
      <c r="K57" s="115">
        <v>0.5</v>
      </c>
      <c r="L57" s="115">
        <v>0.5</v>
      </c>
      <c r="M57" s="115">
        <v>0.5</v>
      </c>
      <c r="N57" s="115">
        <v>0.5</v>
      </c>
      <c r="O57" s="115">
        <v>0.5</v>
      </c>
      <c r="P57" s="115">
        <v>0.5</v>
      </c>
      <c r="Q57" s="115">
        <v>0.5</v>
      </c>
      <c r="R57" s="115">
        <v>0.5</v>
      </c>
      <c r="S57" s="115">
        <v>0.56999999999999995</v>
      </c>
      <c r="T57" s="115">
        <v>0.71563500000000002</v>
      </c>
      <c r="U57" s="128">
        <v>0.5</v>
      </c>
      <c r="V57" s="115">
        <v>0.5</v>
      </c>
      <c r="W57" s="185">
        <v>0.6</v>
      </c>
    </row>
    <row r="58" spans="1:23" x14ac:dyDescent="0.25">
      <c r="A58" s="1"/>
      <c r="B58" s="120" t="s">
        <v>101</v>
      </c>
      <c r="C58" s="115" t="s">
        <v>102</v>
      </c>
      <c r="D58" s="114" t="s">
        <v>64</v>
      </c>
      <c r="E58" s="115">
        <v>0</v>
      </c>
      <c r="F58" s="115">
        <v>3</v>
      </c>
      <c r="G58" s="115">
        <v>3</v>
      </c>
      <c r="H58" s="115">
        <v>3</v>
      </c>
      <c r="I58" s="115">
        <v>3</v>
      </c>
      <c r="J58" s="115">
        <v>3</v>
      </c>
      <c r="K58" s="115">
        <v>0</v>
      </c>
      <c r="L58" s="115">
        <v>0</v>
      </c>
      <c r="M58" s="115">
        <v>0</v>
      </c>
      <c r="N58" s="115">
        <v>15</v>
      </c>
      <c r="O58" s="115">
        <v>15</v>
      </c>
      <c r="P58" s="115">
        <v>15</v>
      </c>
      <c r="Q58" s="115">
        <v>15</v>
      </c>
      <c r="R58" s="115">
        <v>15</v>
      </c>
      <c r="S58" s="115">
        <v>2</v>
      </c>
      <c r="T58" s="115">
        <v>5</v>
      </c>
      <c r="U58" s="128">
        <v>10</v>
      </c>
      <c r="V58" s="115">
        <v>4</v>
      </c>
      <c r="W58" s="185">
        <v>20</v>
      </c>
    </row>
    <row r="59" spans="1:23" x14ac:dyDescent="0.25">
      <c r="A59" s="1"/>
      <c r="B59" s="120" t="s">
        <v>103</v>
      </c>
      <c r="C59" s="115" t="s">
        <v>104</v>
      </c>
      <c r="D59" s="114" t="s">
        <v>15</v>
      </c>
      <c r="E59" s="115">
        <v>0.15</v>
      </c>
      <c r="F59" s="115">
        <v>0.15</v>
      </c>
      <c r="G59" s="115">
        <v>0.15</v>
      </c>
      <c r="H59" s="115">
        <v>0.15</v>
      </c>
      <c r="I59" s="115">
        <v>0.15</v>
      </c>
      <c r="J59" s="115">
        <v>0.32</v>
      </c>
      <c r="K59" s="115">
        <v>0.15</v>
      </c>
      <c r="L59" s="115">
        <v>0.15</v>
      </c>
      <c r="M59" s="115">
        <v>0.15</v>
      </c>
      <c r="N59" s="115">
        <v>0.15</v>
      </c>
      <c r="O59" s="115">
        <v>0.15</v>
      </c>
      <c r="P59" s="115">
        <v>0.15</v>
      </c>
      <c r="Q59" s="115">
        <v>0.1</v>
      </c>
      <c r="R59" s="115">
        <v>0.1</v>
      </c>
      <c r="S59" s="115">
        <v>0.2</v>
      </c>
      <c r="T59" s="115">
        <v>0.2</v>
      </c>
      <c r="U59" s="128">
        <v>0.2</v>
      </c>
      <c r="V59" s="115">
        <v>0.2</v>
      </c>
      <c r="W59" s="185">
        <v>0.15</v>
      </c>
    </row>
    <row r="60" spans="1:23" x14ac:dyDescent="0.25">
      <c r="A60" s="1"/>
      <c r="B60" s="120" t="s">
        <v>105</v>
      </c>
      <c r="C60" s="115" t="s">
        <v>106</v>
      </c>
      <c r="D60" s="114" t="s">
        <v>15</v>
      </c>
      <c r="E60" s="115">
        <v>0</v>
      </c>
      <c r="F60" s="115">
        <v>0</v>
      </c>
      <c r="G60" s="115">
        <v>0</v>
      </c>
      <c r="H60" s="115">
        <v>5</v>
      </c>
      <c r="I60" s="115">
        <v>5</v>
      </c>
      <c r="J60" s="115">
        <v>2</v>
      </c>
      <c r="K60" s="115">
        <v>0</v>
      </c>
      <c r="L60" s="115">
        <v>0</v>
      </c>
      <c r="M60" s="115">
        <v>0</v>
      </c>
      <c r="N60" s="115">
        <v>5</v>
      </c>
      <c r="O60" s="115">
        <v>5</v>
      </c>
      <c r="P60" s="115">
        <v>5</v>
      </c>
      <c r="Q60" s="115">
        <v>5</v>
      </c>
      <c r="R60" s="115">
        <v>5</v>
      </c>
      <c r="S60" s="115">
        <v>5</v>
      </c>
      <c r="T60" s="115">
        <v>5</v>
      </c>
      <c r="U60" s="128">
        <v>5</v>
      </c>
      <c r="V60" s="115">
        <v>5</v>
      </c>
      <c r="W60" s="185">
        <v>3.1</v>
      </c>
    </row>
    <row r="61" spans="1:23" ht="13" x14ac:dyDescent="0.3">
      <c r="A61" s="7"/>
      <c r="B61" s="121" t="s">
        <v>107</v>
      </c>
      <c r="C61" s="122"/>
      <c r="D61" s="122"/>
      <c r="E61" s="122"/>
      <c r="F61" s="122"/>
      <c r="G61" s="122"/>
      <c r="H61" s="122"/>
      <c r="I61" s="122"/>
      <c r="J61" s="122"/>
      <c r="K61" s="115"/>
      <c r="L61" s="122"/>
      <c r="M61" s="122"/>
      <c r="N61" s="122"/>
      <c r="O61" s="122"/>
      <c r="P61" s="122"/>
      <c r="Q61" s="122"/>
      <c r="R61" s="122"/>
      <c r="S61" s="122"/>
      <c r="T61" s="122"/>
      <c r="U61" s="125"/>
      <c r="V61" s="122"/>
      <c r="W61" s="185"/>
    </row>
    <row r="62" spans="1:23" x14ac:dyDescent="0.25">
      <c r="A62" s="1"/>
      <c r="B62" s="120" t="s">
        <v>108</v>
      </c>
      <c r="C62" s="115" t="s">
        <v>109</v>
      </c>
      <c r="D62" s="114" t="s">
        <v>110</v>
      </c>
      <c r="E62" s="115">
        <v>5.5E-2</v>
      </c>
      <c r="F62" s="115">
        <v>0.06</v>
      </c>
      <c r="G62" s="115">
        <v>0.06</v>
      </c>
      <c r="H62" s="115">
        <v>0.05</v>
      </c>
      <c r="I62" s="115">
        <v>5.5E-2</v>
      </c>
      <c r="J62" s="115">
        <v>7.0000000000000007E-2</v>
      </c>
      <c r="K62" s="115">
        <v>7.6999999999999999E-2</v>
      </c>
      <c r="L62" s="115">
        <v>0.06</v>
      </c>
      <c r="M62" s="115">
        <v>0.06</v>
      </c>
      <c r="N62" s="115">
        <v>5.5E-2</v>
      </c>
      <c r="O62" s="115">
        <v>3.5000000000000003E-2</v>
      </c>
      <c r="P62" s="115">
        <v>0.03</v>
      </c>
      <c r="Q62" s="115">
        <v>5.5E-2</v>
      </c>
      <c r="R62" s="115">
        <v>4.4999999999999998E-2</v>
      </c>
      <c r="S62" s="115">
        <v>4.8500000000000001E-2</v>
      </c>
      <c r="T62" s="115">
        <v>4.8329999999999998E-2</v>
      </c>
      <c r="U62" s="125">
        <v>0.05</v>
      </c>
      <c r="V62" s="115">
        <v>5.5E-2</v>
      </c>
      <c r="W62" s="180">
        <v>4.7E-2</v>
      </c>
    </row>
    <row r="63" spans="1:23" x14ac:dyDescent="0.25">
      <c r="A63" s="1"/>
      <c r="B63" s="120" t="s">
        <v>111</v>
      </c>
      <c r="C63" s="115" t="s">
        <v>112</v>
      </c>
      <c r="D63" s="114" t="s">
        <v>15</v>
      </c>
      <c r="E63" s="115">
        <v>0.47</v>
      </c>
      <c r="F63" s="115">
        <v>0.47</v>
      </c>
      <c r="G63" s="115">
        <v>0.47</v>
      </c>
      <c r="H63" s="115">
        <v>0.47</v>
      </c>
      <c r="I63" s="115">
        <v>0.47</v>
      </c>
      <c r="J63" s="115">
        <v>0.47</v>
      </c>
      <c r="K63" s="115">
        <v>0.47</v>
      </c>
      <c r="L63" s="115">
        <v>0.47</v>
      </c>
      <c r="M63" s="115">
        <v>0.47</v>
      </c>
      <c r="N63" s="115">
        <v>0.47</v>
      </c>
      <c r="O63" s="115">
        <v>0.47</v>
      </c>
      <c r="P63" s="115">
        <v>0.47</v>
      </c>
      <c r="Q63" s="115">
        <v>0.47</v>
      </c>
      <c r="R63" s="115">
        <v>0.47</v>
      </c>
      <c r="S63" s="115">
        <v>0.47</v>
      </c>
      <c r="T63" s="115">
        <v>0.47</v>
      </c>
      <c r="U63" s="128">
        <v>0.47</v>
      </c>
      <c r="V63" s="115">
        <v>0.47</v>
      </c>
      <c r="W63" s="180">
        <v>0.47</v>
      </c>
    </row>
    <row r="64" spans="1:23" ht="13" x14ac:dyDescent="0.3">
      <c r="A64" s="7"/>
      <c r="B64" s="121" t="s">
        <v>113</v>
      </c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5"/>
      <c r="V64" s="122"/>
      <c r="W64" s="185"/>
    </row>
    <row r="65" spans="1:23" x14ac:dyDescent="0.25">
      <c r="A65" s="1"/>
      <c r="B65" s="120" t="s">
        <v>176</v>
      </c>
      <c r="C65" s="115" t="s">
        <v>177</v>
      </c>
      <c r="D65" s="114" t="s">
        <v>116</v>
      </c>
      <c r="E65" s="115">
        <v>0</v>
      </c>
      <c r="F65" s="115">
        <v>0</v>
      </c>
      <c r="G65" s="115">
        <v>0</v>
      </c>
      <c r="H65" s="115">
        <v>0</v>
      </c>
      <c r="I65" s="115">
        <v>0</v>
      </c>
      <c r="J65" s="115">
        <v>0</v>
      </c>
      <c r="K65" s="115">
        <v>0</v>
      </c>
      <c r="L65" s="115">
        <v>0</v>
      </c>
      <c r="M65" s="115">
        <v>0</v>
      </c>
      <c r="N65" s="115">
        <v>0.01</v>
      </c>
      <c r="O65" s="115">
        <v>0</v>
      </c>
      <c r="P65" s="115">
        <v>0</v>
      </c>
      <c r="Q65" s="115">
        <v>0</v>
      </c>
      <c r="R65" s="115">
        <v>0</v>
      </c>
      <c r="S65" s="115">
        <v>0</v>
      </c>
      <c r="T65" s="115">
        <v>0</v>
      </c>
      <c r="U65" s="128">
        <v>0</v>
      </c>
      <c r="V65" s="115">
        <v>0</v>
      </c>
      <c r="W65" s="185">
        <v>0</v>
      </c>
    </row>
    <row r="66" spans="1:23" x14ac:dyDescent="0.25">
      <c r="A66" s="1"/>
      <c r="B66" s="120" t="s">
        <v>114</v>
      </c>
      <c r="C66" s="115" t="s">
        <v>115</v>
      </c>
      <c r="D66" s="114" t="s">
        <v>116</v>
      </c>
      <c r="E66" s="115">
        <v>0.02</v>
      </c>
      <c r="F66" s="115">
        <v>0.02</v>
      </c>
      <c r="G66" s="115">
        <v>0.02</v>
      </c>
      <c r="H66" s="115">
        <v>0.02</v>
      </c>
      <c r="I66" s="115">
        <v>0.02</v>
      </c>
      <c r="J66" s="115">
        <v>0.02</v>
      </c>
      <c r="K66" s="115">
        <v>0.02</v>
      </c>
      <c r="L66" s="115">
        <v>0.02</v>
      </c>
      <c r="M66" s="115">
        <v>0.02</v>
      </c>
      <c r="N66" s="115">
        <v>1.2E-2</v>
      </c>
      <c r="O66" s="115">
        <v>0.02</v>
      </c>
      <c r="P66" s="115">
        <v>0.02</v>
      </c>
      <c r="Q66" s="115">
        <v>1.2E-2</v>
      </c>
      <c r="R66" s="115">
        <v>0.02</v>
      </c>
      <c r="S66" s="115">
        <v>6.0000000000000001E-3</v>
      </c>
      <c r="T66" s="115">
        <v>3.6200000000000003E-2</v>
      </c>
      <c r="U66" s="128">
        <v>0.02</v>
      </c>
      <c r="V66" s="115">
        <v>0.02</v>
      </c>
      <c r="W66" s="185">
        <v>0.02</v>
      </c>
    </row>
    <row r="67" spans="1:23" x14ac:dyDescent="0.25">
      <c r="A67" s="1"/>
      <c r="B67" s="120" t="s">
        <v>117</v>
      </c>
      <c r="C67" s="114" t="s">
        <v>118</v>
      </c>
      <c r="D67" s="114" t="s">
        <v>15</v>
      </c>
      <c r="E67" s="115">
        <v>3.33</v>
      </c>
      <c r="F67" s="115">
        <v>3.33</v>
      </c>
      <c r="G67" s="115">
        <v>3.33</v>
      </c>
      <c r="H67" s="115">
        <v>3.33</v>
      </c>
      <c r="I67" s="115">
        <v>3.33</v>
      </c>
      <c r="J67" s="115">
        <v>3.33</v>
      </c>
      <c r="K67" s="115">
        <v>3.33</v>
      </c>
      <c r="L67" s="115">
        <v>3.33</v>
      </c>
      <c r="M67" s="115">
        <v>3.33</v>
      </c>
      <c r="N67" s="115">
        <v>5</v>
      </c>
      <c r="O67" s="115">
        <v>3.33</v>
      </c>
      <c r="P67" s="115">
        <v>3.33</v>
      </c>
      <c r="Q67" s="115">
        <v>5</v>
      </c>
      <c r="R67" s="115">
        <v>3.33</v>
      </c>
      <c r="S67" s="115">
        <v>3</v>
      </c>
      <c r="T67" s="115">
        <v>3</v>
      </c>
      <c r="U67" s="128">
        <v>4</v>
      </c>
      <c r="V67" s="115">
        <v>3.33</v>
      </c>
      <c r="W67" s="185">
        <v>3</v>
      </c>
    </row>
    <row r="68" spans="1:23" x14ac:dyDescent="0.25">
      <c r="A68" s="1"/>
      <c r="B68" s="120" t="s">
        <v>119</v>
      </c>
      <c r="C68" s="115" t="s">
        <v>120</v>
      </c>
      <c r="D68" s="114" t="s">
        <v>121</v>
      </c>
      <c r="E68" s="115">
        <v>0.05</v>
      </c>
      <c r="F68" s="115">
        <v>0.05</v>
      </c>
      <c r="G68" s="115">
        <v>0.05</v>
      </c>
      <c r="H68" s="115">
        <v>0.05</v>
      </c>
      <c r="I68" s="115">
        <v>0.05</v>
      </c>
      <c r="J68" s="115">
        <v>0.05</v>
      </c>
      <c r="K68" s="115">
        <v>0.05</v>
      </c>
      <c r="L68" s="115">
        <v>0.05</v>
      </c>
      <c r="M68" s="115">
        <v>0.05</v>
      </c>
      <c r="N68" s="115">
        <v>0.05</v>
      </c>
      <c r="O68" s="115">
        <v>0.05</v>
      </c>
      <c r="P68" s="115">
        <v>0.05</v>
      </c>
      <c r="Q68" s="115">
        <v>0.05</v>
      </c>
      <c r="R68" s="115">
        <v>0.05</v>
      </c>
      <c r="S68" s="115">
        <v>2.5000000000000001E-2</v>
      </c>
      <c r="T68" s="115">
        <v>5.9857E-2</v>
      </c>
      <c r="U68" s="128">
        <v>0.05</v>
      </c>
      <c r="V68" s="115">
        <v>0.05</v>
      </c>
      <c r="W68" s="185">
        <v>5.5E-2</v>
      </c>
    </row>
    <row r="69" spans="1:23" x14ac:dyDescent="0.25">
      <c r="A69" s="1"/>
      <c r="B69" s="120" t="s">
        <v>122</v>
      </c>
      <c r="C69" s="115" t="s">
        <v>123</v>
      </c>
      <c r="D69" s="114" t="s">
        <v>116</v>
      </c>
      <c r="E69" s="115">
        <v>0.2</v>
      </c>
      <c r="F69" s="115">
        <v>0.2</v>
      </c>
      <c r="G69" s="115">
        <v>0.2</v>
      </c>
      <c r="H69" s="115">
        <v>0.2</v>
      </c>
      <c r="I69" s="115">
        <v>0.2</v>
      </c>
      <c r="J69" s="115">
        <v>0.2</v>
      </c>
      <c r="K69" s="115">
        <v>0.2</v>
      </c>
      <c r="L69" s="115">
        <v>0.2</v>
      </c>
      <c r="M69" s="115">
        <v>0.2</v>
      </c>
      <c r="N69" s="115">
        <v>0.2</v>
      </c>
      <c r="O69" s="115">
        <v>0.2</v>
      </c>
      <c r="P69" s="115">
        <v>0.2</v>
      </c>
      <c r="Q69" s="115">
        <v>0.14000000000000001</v>
      </c>
      <c r="R69" s="115">
        <v>0.14000000000000001</v>
      </c>
      <c r="S69" s="115">
        <v>0.1</v>
      </c>
      <c r="T69" s="115">
        <v>0.2</v>
      </c>
      <c r="U69" s="128">
        <v>0.2</v>
      </c>
      <c r="V69" s="115">
        <v>0.2</v>
      </c>
      <c r="W69" s="185">
        <v>0.2</v>
      </c>
    </row>
    <row r="70" spans="1:23" ht="21.75" customHeight="1" x14ac:dyDescent="0.35">
      <c r="A70" s="1"/>
      <c r="B70" s="119" t="s">
        <v>124</v>
      </c>
      <c r="C70" s="114"/>
      <c r="D70" s="114"/>
      <c r="E70" s="114"/>
      <c r="F70" s="122"/>
      <c r="G70" s="122"/>
      <c r="H70" s="122"/>
      <c r="I70" s="122"/>
      <c r="J70" s="114"/>
      <c r="K70" s="114"/>
      <c r="L70" s="114"/>
      <c r="M70" s="114"/>
      <c r="N70" s="114"/>
      <c r="O70" s="114"/>
      <c r="P70" s="114"/>
      <c r="Q70" s="114"/>
      <c r="R70" s="114"/>
      <c r="S70" s="122"/>
      <c r="T70" s="122"/>
      <c r="U70" s="125"/>
      <c r="V70" s="122"/>
      <c r="W70" s="185"/>
    </row>
    <row r="71" spans="1:23" ht="13" x14ac:dyDescent="0.3">
      <c r="A71" s="7"/>
      <c r="B71" s="121" t="s">
        <v>125</v>
      </c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5"/>
      <c r="V71" s="122"/>
      <c r="W71" s="185"/>
    </row>
    <row r="72" spans="1:23" x14ac:dyDescent="0.25">
      <c r="A72" s="1"/>
      <c r="B72" s="120" t="s">
        <v>126</v>
      </c>
      <c r="C72" s="115" t="s">
        <v>127</v>
      </c>
      <c r="D72" s="114" t="s">
        <v>15</v>
      </c>
      <c r="E72" s="115">
        <v>0.15</v>
      </c>
      <c r="F72" s="115">
        <v>0.75</v>
      </c>
      <c r="G72" s="115">
        <v>0.75</v>
      </c>
      <c r="H72" s="115">
        <v>0.5</v>
      </c>
      <c r="I72" s="115">
        <v>0.5</v>
      </c>
      <c r="J72" s="115">
        <v>0.71</v>
      </c>
      <c r="K72" s="115">
        <v>0.75</v>
      </c>
      <c r="L72" s="115">
        <v>0.75</v>
      </c>
      <c r="M72" s="115">
        <v>0.75</v>
      </c>
      <c r="N72" s="115">
        <v>0.15</v>
      </c>
      <c r="O72" s="115">
        <v>0.15</v>
      </c>
      <c r="P72" s="115">
        <v>0.15</v>
      </c>
      <c r="Q72" s="115">
        <v>0.15</v>
      </c>
      <c r="R72" s="115">
        <v>0.15</v>
      </c>
      <c r="S72" s="115">
        <v>0.4</v>
      </c>
      <c r="T72" s="115">
        <v>0.64780900000000008</v>
      </c>
      <c r="U72" s="128">
        <v>0.15</v>
      </c>
      <c r="V72" s="115">
        <v>0.78959999999999997</v>
      </c>
      <c r="W72" s="185">
        <v>0.5</v>
      </c>
    </row>
    <row r="73" spans="1:23" x14ac:dyDescent="0.25">
      <c r="A73" s="1"/>
      <c r="B73" s="120" t="s">
        <v>128</v>
      </c>
      <c r="C73" s="115" t="s">
        <v>129</v>
      </c>
      <c r="D73" s="114" t="s">
        <v>15</v>
      </c>
      <c r="E73" s="115">
        <v>0.15</v>
      </c>
      <c r="F73" s="115">
        <v>0.15</v>
      </c>
      <c r="G73" s="115">
        <v>0.15</v>
      </c>
      <c r="H73" s="115">
        <v>0.1</v>
      </c>
      <c r="I73" s="115">
        <v>0.1</v>
      </c>
      <c r="J73" s="115">
        <v>0.2</v>
      </c>
      <c r="K73" s="115">
        <v>0.15</v>
      </c>
      <c r="L73" s="115">
        <v>0.15</v>
      </c>
      <c r="M73" s="115">
        <v>0.15</v>
      </c>
      <c r="N73" s="115">
        <v>0.05</v>
      </c>
      <c r="O73" s="115">
        <v>0.05</v>
      </c>
      <c r="P73" s="115">
        <v>0.05</v>
      </c>
      <c r="Q73" s="115">
        <v>0.15</v>
      </c>
      <c r="R73" s="115">
        <v>0.15</v>
      </c>
      <c r="S73" s="115">
        <v>0.1</v>
      </c>
      <c r="T73" s="115">
        <v>0.240205</v>
      </c>
      <c r="U73" s="128">
        <v>0.05</v>
      </c>
      <c r="V73" s="115">
        <v>5.79E-2</v>
      </c>
      <c r="W73" s="185">
        <v>0.1</v>
      </c>
    </row>
    <row r="74" spans="1:23" x14ac:dyDescent="0.25">
      <c r="A74" s="1"/>
      <c r="B74" s="120" t="s">
        <v>130</v>
      </c>
      <c r="C74" s="115" t="s">
        <v>131</v>
      </c>
      <c r="D74" s="114" t="s">
        <v>64</v>
      </c>
      <c r="E74" s="115">
        <v>1.5</v>
      </c>
      <c r="F74" s="115">
        <v>2</v>
      </c>
      <c r="G74" s="115">
        <v>2</v>
      </c>
      <c r="H74" s="115">
        <v>5</v>
      </c>
      <c r="I74" s="115">
        <v>5</v>
      </c>
      <c r="J74" s="115">
        <v>3.66</v>
      </c>
      <c r="K74" s="115">
        <v>1.5</v>
      </c>
      <c r="L74" s="115">
        <v>2</v>
      </c>
      <c r="M74" s="115">
        <v>2</v>
      </c>
      <c r="N74" s="115">
        <v>30</v>
      </c>
      <c r="O74" s="115">
        <v>30</v>
      </c>
      <c r="P74" s="115">
        <v>30</v>
      </c>
      <c r="Q74" s="115">
        <v>1.5</v>
      </c>
      <c r="R74" s="115">
        <v>1.5</v>
      </c>
      <c r="S74" s="115">
        <v>15</v>
      </c>
      <c r="T74" s="115">
        <v>4.7514566874619106</v>
      </c>
      <c r="U74" s="128">
        <v>30</v>
      </c>
      <c r="V74" s="115">
        <v>5.6970000000000001</v>
      </c>
      <c r="W74" s="185">
        <v>5</v>
      </c>
    </row>
    <row r="75" spans="1:23" ht="13" x14ac:dyDescent="0.3">
      <c r="A75" s="7"/>
      <c r="B75" s="121" t="s">
        <v>132</v>
      </c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5"/>
      <c r="V75" s="122"/>
      <c r="W75" s="185"/>
    </row>
    <row r="76" spans="1:23" x14ac:dyDescent="0.25">
      <c r="A76" s="1"/>
      <c r="B76" s="120" t="s">
        <v>133</v>
      </c>
      <c r="C76" s="115" t="s">
        <v>134</v>
      </c>
      <c r="D76" s="114" t="s">
        <v>135</v>
      </c>
      <c r="E76" s="116">
        <v>0.5</v>
      </c>
      <c r="F76" s="116">
        <v>0.45</v>
      </c>
      <c r="G76" s="116">
        <v>0.38</v>
      </c>
      <c r="H76" s="116">
        <v>0.48</v>
      </c>
      <c r="I76" s="116">
        <v>0.4</v>
      </c>
      <c r="J76" s="116">
        <v>0.32</v>
      </c>
      <c r="K76" s="114">
        <v>0.5</v>
      </c>
      <c r="L76" s="116">
        <v>0.6</v>
      </c>
      <c r="M76" s="116">
        <v>0.45</v>
      </c>
      <c r="N76" s="116">
        <v>0.4</v>
      </c>
      <c r="O76" s="116">
        <v>0.4</v>
      </c>
      <c r="P76" s="116">
        <v>0.4</v>
      </c>
      <c r="Q76" s="116">
        <v>0.4</v>
      </c>
      <c r="R76" s="116">
        <v>0.4</v>
      </c>
      <c r="S76" s="115">
        <v>0.5</v>
      </c>
      <c r="T76" s="115">
        <v>0.35</v>
      </c>
      <c r="U76" s="128">
        <v>0.4</v>
      </c>
      <c r="V76" s="116">
        <v>0.31950000000000001</v>
      </c>
      <c r="W76" s="185">
        <v>480</v>
      </c>
    </row>
    <row r="77" spans="1:23" x14ac:dyDescent="0.25">
      <c r="A77" s="1"/>
      <c r="B77" s="120" t="s">
        <v>136</v>
      </c>
      <c r="C77" s="115" t="s">
        <v>137</v>
      </c>
      <c r="D77" s="114" t="s">
        <v>135</v>
      </c>
      <c r="E77" s="116">
        <v>0.5</v>
      </c>
      <c r="F77" s="116">
        <v>0.45</v>
      </c>
      <c r="G77" s="116">
        <v>0.58199999999999996</v>
      </c>
      <c r="H77" s="116">
        <v>0.48</v>
      </c>
      <c r="I77" s="116">
        <v>0.4</v>
      </c>
      <c r="J77" s="116">
        <v>0.51</v>
      </c>
      <c r="K77" s="114">
        <v>0.5</v>
      </c>
      <c r="L77" s="116">
        <v>0.6</v>
      </c>
      <c r="M77" s="116">
        <v>0.45</v>
      </c>
      <c r="N77" s="116">
        <v>0.45</v>
      </c>
      <c r="O77" s="116">
        <v>0.4</v>
      </c>
      <c r="P77" s="116">
        <v>0.4</v>
      </c>
      <c r="Q77" s="116">
        <v>0.4</v>
      </c>
      <c r="R77" s="116">
        <v>0.4</v>
      </c>
      <c r="S77" s="115">
        <v>0.5</v>
      </c>
      <c r="T77" s="115">
        <v>0.48</v>
      </c>
      <c r="U77" s="128">
        <v>0.45</v>
      </c>
      <c r="V77" s="116">
        <v>0.56669999999999998</v>
      </c>
      <c r="W77" s="185">
        <v>480</v>
      </c>
    </row>
    <row r="78" spans="1:23" x14ac:dyDescent="0.25">
      <c r="A78" s="1"/>
      <c r="B78" s="120" t="s">
        <v>138</v>
      </c>
      <c r="C78" s="115" t="s">
        <v>139</v>
      </c>
      <c r="D78" s="114" t="s">
        <v>64</v>
      </c>
      <c r="E78" s="115">
        <v>4</v>
      </c>
      <c r="F78" s="115">
        <v>4</v>
      </c>
      <c r="G78" s="115">
        <v>4</v>
      </c>
      <c r="H78" s="115">
        <v>4</v>
      </c>
      <c r="I78" s="115">
        <v>4</v>
      </c>
      <c r="J78" s="115">
        <v>7.16</v>
      </c>
      <c r="K78" s="114">
        <v>5</v>
      </c>
      <c r="L78" s="115">
        <v>4</v>
      </c>
      <c r="M78" s="115">
        <v>4</v>
      </c>
      <c r="N78" s="115">
        <v>20</v>
      </c>
      <c r="O78" s="115">
        <v>50</v>
      </c>
      <c r="P78" s="115">
        <v>50</v>
      </c>
      <c r="Q78" s="115">
        <v>4</v>
      </c>
      <c r="R78" s="115">
        <v>4</v>
      </c>
      <c r="S78" s="115">
        <v>4</v>
      </c>
      <c r="T78" s="115">
        <v>4</v>
      </c>
      <c r="U78" s="128">
        <v>20</v>
      </c>
      <c r="V78" s="115">
        <v>32.042999999999999</v>
      </c>
      <c r="W78" s="185">
        <v>4</v>
      </c>
    </row>
    <row r="79" spans="1:23" ht="13" x14ac:dyDescent="0.3">
      <c r="A79" s="7"/>
      <c r="B79" s="121" t="s">
        <v>140</v>
      </c>
      <c r="C79" s="122"/>
      <c r="D79" s="122"/>
      <c r="E79" s="122"/>
      <c r="F79" s="122"/>
      <c r="G79" s="122"/>
      <c r="H79" s="122"/>
      <c r="I79" s="122"/>
      <c r="J79" s="122"/>
      <c r="K79" s="115"/>
      <c r="L79" s="122"/>
      <c r="M79" s="122"/>
      <c r="N79" s="122"/>
      <c r="O79" s="122"/>
      <c r="P79" s="122"/>
      <c r="Q79" s="122"/>
      <c r="R79" s="122"/>
      <c r="S79" s="122"/>
      <c r="T79" s="122"/>
      <c r="U79" s="125"/>
      <c r="V79" s="122"/>
      <c r="W79" s="185"/>
    </row>
    <row r="80" spans="1:23" x14ac:dyDescent="0.25">
      <c r="A80" s="1"/>
      <c r="B80" s="120" t="s">
        <v>141</v>
      </c>
      <c r="C80" s="114" t="s">
        <v>142</v>
      </c>
      <c r="D80" s="114" t="s">
        <v>15</v>
      </c>
      <c r="E80" s="114">
        <v>0</v>
      </c>
      <c r="F80" s="114">
        <v>0.6</v>
      </c>
      <c r="G80" s="114">
        <v>0.6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5">
        <v>0</v>
      </c>
      <c r="T80" s="115">
        <v>0</v>
      </c>
      <c r="U80" s="128">
        <v>0</v>
      </c>
      <c r="V80" s="114">
        <v>0</v>
      </c>
      <c r="W80" s="185">
        <v>0.6</v>
      </c>
    </row>
    <row r="81" spans="1:23" x14ac:dyDescent="0.25">
      <c r="A81" s="1"/>
      <c r="B81" s="120" t="s">
        <v>143</v>
      </c>
      <c r="C81" s="114" t="s">
        <v>144</v>
      </c>
      <c r="D81" s="114" t="s">
        <v>15</v>
      </c>
      <c r="E81" s="114">
        <v>0</v>
      </c>
      <c r="F81" s="114">
        <v>1.2</v>
      </c>
      <c r="G81" s="114">
        <v>1.2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5">
        <v>0</v>
      </c>
      <c r="T81" s="115">
        <v>0</v>
      </c>
      <c r="U81" s="128">
        <v>0</v>
      </c>
      <c r="V81" s="114">
        <v>0</v>
      </c>
      <c r="W81" s="185">
        <v>1.2</v>
      </c>
    </row>
    <row r="82" spans="1:23" x14ac:dyDescent="0.25">
      <c r="A82" s="1"/>
      <c r="B82" s="120" t="s">
        <v>145</v>
      </c>
      <c r="C82" s="114" t="s">
        <v>146</v>
      </c>
      <c r="D82" s="114" t="s">
        <v>15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5">
        <v>0</v>
      </c>
      <c r="T82" s="115">
        <v>0</v>
      </c>
      <c r="U82" s="128">
        <v>0</v>
      </c>
      <c r="V82" s="114">
        <v>0</v>
      </c>
      <c r="W82" s="185">
        <v>0</v>
      </c>
    </row>
    <row r="83" spans="1:23" ht="13" x14ac:dyDescent="0.3">
      <c r="A83" s="7"/>
      <c r="B83" s="121" t="s">
        <v>147</v>
      </c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5"/>
      <c r="V83" s="122"/>
      <c r="W83" s="185"/>
    </row>
    <row r="84" spans="1:23" x14ac:dyDescent="0.25">
      <c r="A84" s="1"/>
      <c r="B84" s="120" t="s">
        <v>148</v>
      </c>
      <c r="C84" s="114" t="s">
        <v>149</v>
      </c>
      <c r="D84" s="114" t="s">
        <v>15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5">
        <v>0</v>
      </c>
      <c r="T84" s="115">
        <v>0</v>
      </c>
      <c r="U84" s="128">
        <v>0</v>
      </c>
      <c r="V84" s="114">
        <v>0</v>
      </c>
      <c r="W84" s="179">
        <v>0</v>
      </c>
    </row>
    <row r="85" spans="1:23" x14ac:dyDescent="0.25">
      <c r="A85" s="1"/>
      <c r="B85" s="120" t="s">
        <v>150</v>
      </c>
      <c r="C85" s="114" t="s">
        <v>151</v>
      </c>
      <c r="D85" s="114" t="s">
        <v>15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5">
        <v>0</v>
      </c>
      <c r="T85" s="115">
        <v>0</v>
      </c>
      <c r="U85" s="128">
        <v>0</v>
      </c>
      <c r="V85" s="114">
        <v>0</v>
      </c>
      <c r="W85" s="179">
        <v>0</v>
      </c>
    </row>
    <row r="86" spans="1:23" x14ac:dyDescent="0.25">
      <c r="A86" s="1"/>
      <c r="B86" s="120" t="s">
        <v>152</v>
      </c>
      <c r="C86" s="114" t="s">
        <v>153</v>
      </c>
      <c r="D86" s="114" t="s">
        <v>15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5">
        <v>0</v>
      </c>
      <c r="T86" s="115">
        <v>0</v>
      </c>
      <c r="U86" s="128">
        <v>0</v>
      </c>
      <c r="V86" s="114">
        <v>0</v>
      </c>
      <c r="W86" s="179">
        <v>0</v>
      </c>
    </row>
    <row r="87" spans="1:23" ht="21.75" customHeight="1" x14ac:dyDescent="0.35">
      <c r="A87" s="1"/>
      <c r="B87" s="119" t="s">
        <v>154</v>
      </c>
      <c r="C87" s="114"/>
      <c r="D87" s="114"/>
      <c r="E87" s="114"/>
      <c r="F87" s="122"/>
      <c r="G87" s="122"/>
      <c r="H87" s="122"/>
      <c r="I87" s="122"/>
      <c r="J87" s="122"/>
      <c r="K87" s="122"/>
      <c r="L87" s="114"/>
      <c r="M87" s="114"/>
      <c r="N87" s="114"/>
      <c r="O87" s="114"/>
      <c r="P87" s="114"/>
      <c r="Q87" s="114"/>
      <c r="R87" s="114"/>
      <c r="S87" s="122"/>
      <c r="T87" s="122"/>
      <c r="U87" s="125"/>
      <c r="V87" s="122"/>
      <c r="W87" s="185"/>
    </row>
    <row r="88" spans="1:23" x14ac:dyDescent="0.25">
      <c r="A88" s="1"/>
      <c r="B88" s="120" t="s">
        <v>155</v>
      </c>
      <c r="C88" s="115" t="s">
        <v>156</v>
      </c>
      <c r="D88" s="114" t="s">
        <v>157</v>
      </c>
      <c r="E88" s="115">
        <v>-90</v>
      </c>
      <c r="F88" s="115">
        <v>-90</v>
      </c>
      <c r="G88" s="115">
        <v>-90</v>
      </c>
      <c r="H88" s="115">
        <v>-90</v>
      </c>
      <c r="I88" s="115">
        <v>-90</v>
      </c>
      <c r="J88" s="115">
        <v>-90</v>
      </c>
      <c r="K88" s="115">
        <v>-90</v>
      </c>
      <c r="L88" s="115">
        <v>-90</v>
      </c>
      <c r="M88" s="115">
        <v>-90</v>
      </c>
      <c r="N88" s="115">
        <v>-90</v>
      </c>
      <c r="O88" s="115">
        <v>-90</v>
      </c>
      <c r="P88" s="115">
        <v>-90</v>
      </c>
      <c r="Q88" s="115">
        <v>-90</v>
      </c>
      <c r="R88" s="115">
        <v>-90</v>
      </c>
      <c r="S88" s="115">
        <v>-90</v>
      </c>
      <c r="T88" s="115">
        <v>-90</v>
      </c>
      <c r="U88" s="128">
        <v>-90</v>
      </c>
      <c r="V88" s="115">
        <v>-90</v>
      </c>
      <c r="W88" s="185" t="s">
        <v>449</v>
      </c>
    </row>
    <row r="89" spans="1:23" x14ac:dyDescent="0.25">
      <c r="A89" s="1"/>
      <c r="B89" s="120" t="s">
        <v>158</v>
      </c>
      <c r="C89" s="115" t="s">
        <v>159</v>
      </c>
      <c r="D89" s="114" t="s">
        <v>15</v>
      </c>
      <c r="E89" s="115">
        <v>0.8</v>
      </c>
      <c r="F89" s="115">
        <v>0.8</v>
      </c>
      <c r="G89" s="115">
        <v>0.8</v>
      </c>
      <c r="H89" s="115">
        <v>0.8</v>
      </c>
      <c r="I89" s="115">
        <v>0.8</v>
      </c>
      <c r="J89" s="115">
        <v>0.8</v>
      </c>
      <c r="K89" s="115">
        <v>0.8</v>
      </c>
      <c r="L89" s="115">
        <v>0.8</v>
      </c>
      <c r="M89" s="115">
        <v>0.8</v>
      </c>
      <c r="N89" s="115">
        <v>0.8</v>
      </c>
      <c r="O89" s="115">
        <v>0.8</v>
      </c>
      <c r="P89" s="115">
        <v>0.8</v>
      </c>
      <c r="Q89" s="115">
        <v>0.8</v>
      </c>
      <c r="R89" s="115">
        <v>0.8</v>
      </c>
      <c r="S89" s="115">
        <v>0.8</v>
      </c>
      <c r="T89" s="115">
        <v>0.8</v>
      </c>
      <c r="U89" s="128">
        <v>0.8</v>
      </c>
      <c r="V89" s="115">
        <v>0.8</v>
      </c>
      <c r="W89" s="185">
        <v>0.6</v>
      </c>
    </row>
    <row r="90" spans="1:23" x14ac:dyDescent="0.25">
      <c r="A90" s="1"/>
      <c r="B90" s="120" t="s">
        <v>160</v>
      </c>
      <c r="C90" s="115" t="s">
        <v>161</v>
      </c>
      <c r="D90" s="114" t="s">
        <v>162</v>
      </c>
      <c r="E90" s="115">
        <v>24</v>
      </c>
      <c r="F90" s="115">
        <v>24</v>
      </c>
      <c r="G90" s="115">
        <v>24</v>
      </c>
      <c r="H90" s="115">
        <v>24</v>
      </c>
      <c r="I90" s="115">
        <v>24</v>
      </c>
      <c r="J90" s="115">
        <v>24</v>
      </c>
      <c r="K90" s="115">
        <v>24</v>
      </c>
      <c r="L90" s="115">
        <v>24</v>
      </c>
      <c r="M90" s="115">
        <v>24</v>
      </c>
      <c r="N90" s="115">
        <v>24</v>
      </c>
      <c r="O90" s="115">
        <v>24</v>
      </c>
      <c r="P90" s="115">
        <v>24</v>
      </c>
      <c r="Q90" s="115">
        <v>24</v>
      </c>
      <c r="R90" s="115">
        <v>24</v>
      </c>
      <c r="S90" s="115">
        <v>24</v>
      </c>
      <c r="T90" s="115">
        <v>24</v>
      </c>
      <c r="U90" s="128">
        <v>24</v>
      </c>
      <c r="V90" s="115">
        <v>24</v>
      </c>
      <c r="W90" s="185">
        <v>24</v>
      </c>
    </row>
    <row r="91" spans="1:23" x14ac:dyDescent="0.25">
      <c r="A91" s="1"/>
      <c r="B91" s="120" t="s">
        <v>163</v>
      </c>
      <c r="C91" s="115" t="s">
        <v>164</v>
      </c>
      <c r="D91" s="114" t="s">
        <v>165</v>
      </c>
      <c r="E91" s="115">
        <v>2.2999999999999998</v>
      </c>
      <c r="F91" s="115">
        <v>2.2999999999999998</v>
      </c>
      <c r="G91" s="115">
        <v>2.2999999999999998</v>
      </c>
      <c r="H91" s="115">
        <v>2.2999999999999998</v>
      </c>
      <c r="I91" s="115">
        <v>2.2999999999999998</v>
      </c>
      <c r="J91" s="115">
        <v>2.2999999999999998</v>
      </c>
      <c r="K91" s="115">
        <v>2.2999999999999998</v>
      </c>
      <c r="L91" s="115">
        <v>2.2999999999999998</v>
      </c>
      <c r="M91" s="115">
        <v>2.2999999999999998</v>
      </c>
      <c r="N91" s="115">
        <v>2.2999999999999998</v>
      </c>
      <c r="O91" s="115">
        <v>2.2999999999999998</v>
      </c>
      <c r="P91" s="115">
        <v>2.2999999999999998</v>
      </c>
      <c r="Q91" s="115">
        <v>2.2999999999999998</v>
      </c>
      <c r="R91" s="115">
        <v>2.2999999999999998</v>
      </c>
      <c r="S91" s="115">
        <v>2.2999999999999998</v>
      </c>
      <c r="T91" s="115">
        <v>2.2999999999999998</v>
      </c>
      <c r="U91" s="128">
        <v>2.2999999999999998</v>
      </c>
      <c r="V91" s="115">
        <v>2.2999999999999998</v>
      </c>
      <c r="W91" s="185">
        <v>1.95</v>
      </c>
    </row>
    <row r="92" spans="1:23" ht="14.5" x14ac:dyDescent="0.35">
      <c r="A92" s="1"/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86"/>
    </row>
    <row r="93" spans="1:23" ht="14.5" x14ac:dyDescent="0.35">
      <c r="A93" s="8"/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23"/>
      <c r="V93" s="186"/>
    </row>
    <row r="94" spans="1:23" ht="14.5" x14ac:dyDescent="0.35">
      <c r="A94" s="8"/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23"/>
      <c r="V94" s="186"/>
    </row>
    <row r="95" spans="1:23" ht="14.5" x14ac:dyDescent="0.35">
      <c r="A95" s="8"/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23"/>
      <c r="V95" s="186"/>
    </row>
    <row r="96" spans="1:23" ht="14.5" x14ac:dyDescent="0.35">
      <c r="A96" s="8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23"/>
      <c r="V96" s="186"/>
    </row>
    <row r="97" spans="1:23" x14ac:dyDescent="0.25">
      <c r="A97" s="8"/>
      <c r="B97" s="146"/>
      <c r="C97" s="146"/>
      <c r="D97" s="146"/>
      <c r="E97" s="148"/>
      <c r="F97" s="146"/>
      <c r="G97" s="146"/>
      <c r="H97" s="146"/>
      <c r="I97" s="146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87"/>
      <c r="W97" s="148"/>
    </row>
    <row r="98" spans="1:23" ht="23" x14ac:dyDescent="0.25">
      <c r="A98" s="8"/>
      <c r="B98" s="149" t="s">
        <v>166</v>
      </c>
      <c r="C98" s="141"/>
      <c r="D98" s="141"/>
      <c r="E98" s="142"/>
      <c r="F98" s="141"/>
      <c r="G98" s="141"/>
      <c r="H98" s="141"/>
      <c r="I98" s="141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5"/>
      <c r="W98" s="142"/>
    </row>
    <row r="99" spans="1:23" x14ac:dyDescent="0.25">
      <c r="A99" s="8"/>
      <c r="B99" s="141"/>
      <c r="C99" s="143"/>
      <c r="D99" s="144"/>
      <c r="E99" s="142"/>
      <c r="F99" s="141"/>
      <c r="G99" s="141"/>
      <c r="H99" s="141"/>
      <c r="I99" s="141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5"/>
      <c r="W99" s="142"/>
    </row>
    <row r="100" spans="1:23" ht="13" x14ac:dyDescent="0.25">
      <c r="A100" s="8"/>
      <c r="B100" s="150" t="s">
        <v>171</v>
      </c>
      <c r="C100" s="154" t="s">
        <v>167</v>
      </c>
      <c r="D100" s="144"/>
      <c r="E100" s="142"/>
      <c r="F100" s="141"/>
      <c r="G100" s="141"/>
      <c r="H100" s="141"/>
      <c r="I100" s="141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5"/>
      <c r="W100" s="142"/>
    </row>
    <row r="101" spans="1:23" ht="13" x14ac:dyDescent="0.25">
      <c r="A101" s="8"/>
      <c r="B101" s="150" t="s">
        <v>172</v>
      </c>
      <c r="C101" s="154" t="s">
        <v>168</v>
      </c>
      <c r="D101" s="144"/>
      <c r="E101" s="142"/>
      <c r="F101" s="141"/>
      <c r="G101" s="141"/>
      <c r="H101" s="141"/>
      <c r="I101" s="141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5"/>
      <c r="W101" s="142"/>
    </row>
    <row r="102" spans="1:23" ht="13" x14ac:dyDescent="0.25">
      <c r="A102" s="8"/>
      <c r="B102" s="151" t="s">
        <v>173</v>
      </c>
      <c r="C102" s="154" t="s">
        <v>167</v>
      </c>
      <c r="D102" s="144"/>
      <c r="E102" s="142"/>
      <c r="F102" s="141"/>
      <c r="G102" s="141"/>
      <c r="H102" s="141"/>
      <c r="I102" s="141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5"/>
      <c r="W102" s="142"/>
    </row>
    <row r="103" spans="1:23" ht="13" x14ac:dyDescent="0.25">
      <c r="B103" s="151" t="s">
        <v>174</v>
      </c>
      <c r="C103" s="155" t="s">
        <v>483</v>
      </c>
      <c r="D103" s="143"/>
      <c r="E103" s="142"/>
      <c r="F103" s="145"/>
      <c r="G103" s="145"/>
      <c r="H103" s="145"/>
      <c r="I103" s="145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5"/>
      <c r="W103" s="142"/>
    </row>
    <row r="104" spans="1:23" x14ac:dyDescent="0.25">
      <c r="B104" s="46"/>
      <c r="C104" s="46"/>
      <c r="D104" s="144"/>
      <c r="E104" s="142"/>
      <c r="F104" s="141"/>
      <c r="G104" s="141"/>
      <c r="H104" s="141"/>
      <c r="I104" s="141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5"/>
      <c r="W104" s="142"/>
    </row>
  </sheetData>
  <phoneticPr fontId="7" type="noConversion"/>
  <pageMargins left="0.19" right="0.24" top="0.25" bottom="0.64" header="0.25" footer="0.14000000000000001"/>
  <pageSetup paperSize="9" orientation="portrait" blackAndWhite="1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BE128"/>
  <sheetViews>
    <sheetView tabSelected="1" workbookViewId="0">
      <selection activeCell="B8" sqref="B8"/>
    </sheetView>
  </sheetViews>
  <sheetFormatPr defaultColWidth="9.1796875" defaultRowHeight="12.5" x14ac:dyDescent="0.25"/>
  <cols>
    <col min="1" max="1" width="15.26953125" style="112" customWidth="1"/>
    <col min="2" max="2" width="13.26953125" style="112" customWidth="1"/>
    <col min="3" max="24" width="9.1796875" style="112"/>
    <col min="25" max="25" width="10.7265625" style="112" bestFit="1" customWidth="1"/>
    <col min="26" max="28" width="9.1796875" style="112"/>
    <col min="29" max="29" width="11" style="112" bestFit="1" customWidth="1"/>
    <col min="30" max="30" width="18" style="112" bestFit="1" customWidth="1"/>
    <col min="31" max="31" width="9.1796875" style="112"/>
    <col min="32" max="32" width="15.1796875" style="112" bestFit="1" customWidth="1"/>
    <col min="33" max="48" width="9.1796875" style="112"/>
    <col min="49" max="57" width="0" style="112" hidden="1" customWidth="1"/>
    <col min="58" max="16384" width="9.1796875" style="112"/>
  </cols>
  <sheetData>
    <row r="1" spans="1:57" ht="13" thickBot="1" x14ac:dyDescent="0.3">
      <c r="L1" s="49"/>
      <c r="M1" s="49"/>
      <c r="P1" s="50"/>
      <c r="Q1" s="50"/>
      <c r="R1" s="50"/>
      <c r="S1" s="50"/>
      <c r="T1" s="50"/>
      <c r="U1" s="50"/>
      <c r="W1" s="50"/>
      <c r="Y1" s="50"/>
      <c r="Z1" s="50"/>
      <c r="AA1" s="50"/>
    </row>
    <row r="2" spans="1:57" ht="18" x14ac:dyDescent="0.35">
      <c r="A2" s="172" t="s">
        <v>420</v>
      </c>
      <c r="B2" s="64" t="s">
        <v>183</v>
      </c>
      <c r="C2" s="50"/>
      <c r="E2" s="89" t="s">
        <v>185</v>
      </c>
      <c r="F2" s="85"/>
      <c r="G2" s="86"/>
      <c r="H2" s="90"/>
      <c r="I2" s="85"/>
      <c r="J2" s="87"/>
      <c r="K2" s="166" t="s">
        <v>413</v>
      </c>
      <c r="L2" s="160"/>
      <c r="M2" s="102"/>
      <c r="N2" s="103"/>
      <c r="O2" s="156"/>
      <c r="P2" s="50"/>
      <c r="Q2" s="50"/>
      <c r="R2" s="50"/>
      <c r="S2" s="50"/>
      <c r="Y2" s="50"/>
      <c r="Z2" s="138"/>
      <c r="AA2" s="138"/>
      <c r="AE2" s="45" t="s">
        <v>477</v>
      </c>
      <c r="AF2" s="112">
        <v>0.123</v>
      </c>
      <c r="AG2" s="45" t="s">
        <v>486</v>
      </c>
    </row>
    <row r="3" spans="1:57" ht="15.5" x14ac:dyDescent="0.35">
      <c r="A3" s="111" t="s">
        <v>184</v>
      </c>
      <c r="B3" s="101" t="s">
        <v>492</v>
      </c>
      <c r="C3" s="65"/>
      <c r="D3" s="50"/>
      <c r="E3" s="52"/>
      <c r="F3" s="53" t="s">
        <v>421</v>
      </c>
      <c r="G3" s="108" t="s">
        <v>422</v>
      </c>
      <c r="H3" s="91"/>
      <c r="I3" s="53" t="s">
        <v>194</v>
      </c>
      <c r="J3" s="67">
        <v>43.247171999999999</v>
      </c>
      <c r="K3" s="158"/>
      <c r="L3" s="159" t="s">
        <v>423</v>
      </c>
      <c r="M3" s="70"/>
      <c r="N3" s="80"/>
      <c r="O3" s="164"/>
      <c r="P3" s="50"/>
      <c r="Q3" s="50"/>
      <c r="R3" s="50"/>
      <c r="S3" s="50"/>
      <c r="Y3" s="50"/>
      <c r="Z3" s="140"/>
      <c r="AA3" s="173"/>
      <c r="AD3" s="50"/>
      <c r="AE3" s="45" t="s">
        <v>479</v>
      </c>
      <c r="AF3" s="112">
        <f>+PI()*1.5*1.5</f>
        <v>7.0685834705770345</v>
      </c>
      <c r="AG3" s="45" t="s">
        <v>481</v>
      </c>
    </row>
    <row r="4" spans="1:57" ht="13" x14ac:dyDescent="0.3">
      <c r="A4" s="111" t="s">
        <v>424</v>
      </c>
      <c r="B4" s="124" t="s">
        <v>451</v>
      </c>
      <c r="C4" s="66"/>
      <c r="D4" s="65"/>
      <c r="E4" s="52"/>
      <c r="F4" s="53" t="s">
        <v>233</v>
      </c>
      <c r="G4" s="54">
        <v>0</v>
      </c>
      <c r="H4" s="92"/>
      <c r="I4" s="53" t="s">
        <v>196</v>
      </c>
      <c r="J4" s="67">
        <v>0.7</v>
      </c>
      <c r="K4" s="158"/>
      <c r="L4" s="153"/>
      <c r="M4" s="74"/>
      <c r="N4" s="79"/>
      <c r="O4" s="164"/>
      <c r="P4" s="50"/>
      <c r="Q4" s="50"/>
      <c r="R4" s="50"/>
      <c r="S4" s="50"/>
      <c r="Y4" s="50" t="s">
        <v>485</v>
      </c>
      <c r="Z4" s="140"/>
      <c r="AA4" s="173"/>
      <c r="AC4" s="177"/>
      <c r="AD4" s="50"/>
      <c r="AE4" s="45" t="s">
        <v>480</v>
      </c>
      <c r="AF4" s="112">
        <v>1</v>
      </c>
      <c r="AG4" s="45" t="s">
        <v>481</v>
      </c>
      <c r="AH4" s="112">
        <f>+AF4*AF3</f>
        <v>7.0685834705770345</v>
      </c>
      <c r="AJ4" s="112">
        <f>+AH4*AF4</f>
        <v>7.0685834705770345</v>
      </c>
      <c r="AK4" s="45" t="s">
        <v>469</v>
      </c>
      <c r="AX4" s="45" t="s">
        <v>472</v>
      </c>
      <c r="AZ4" s="45" t="s">
        <v>473</v>
      </c>
    </row>
    <row r="5" spans="1:57" ht="26" x14ac:dyDescent="0.3">
      <c r="A5" s="111"/>
      <c r="C5" s="51"/>
      <c r="D5" s="51"/>
      <c r="E5" s="52"/>
      <c r="F5" s="53" t="s">
        <v>227</v>
      </c>
      <c r="G5" s="108" t="s">
        <v>192</v>
      </c>
      <c r="H5" s="93"/>
      <c r="I5" s="53" t="s">
        <v>201</v>
      </c>
      <c r="J5" s="109" t="s">
        <v>476</v>
      </c>
      <c r="K5" s="158"/>
      <c r="L5" s="153"/>
      <c r="M5" s="157"/>
      <c r="N5" s="80"/>
      <c r="O5" s="164"/>
      <c r="P5" s="50"/>
      <c r="Q5" s="50"/>
      <c r="R5" s="9" t="s">
        <v>186</v>
      </c>
      <c r="S5" s="152" t="s">
        <v>45</v>
      </c>
      <c r="T5" s="152" t="s">
        <v>40</v>
      </c>
      <c r="U5" s="152" t="s">
        <v>187</v>
      </c>
      <c r="V5" s="152" t="s">
        <v>188</v>
      </c>
      <c r="W5" s="152" t="s">
        <v>428</v>
      </c>
      <c r="Y5" s="196">
        <v>0.2</v>
      </c>
      <c r="Z5" s="152"/>
      <c r="AC5" s="45" t="s">
        <v>474</v>
      </c>
      <c r="AD5" s="45" t="s">
        <v>489</v>
      </c>
      <c r="AE5" s="45" t="s">
        <v>475</v>
      </c>
      <c r="AF5" s="45" t="s">
        <v>478</v>
      </c>
      <c r="AG5" s="45" t="s">
        <v>482</v>
      </c>
      <c r="AH5" s="45" t="s">
        <v>490</v>
      </c>
      <c r="AW5" s="152" t="s">
        <v>471</v>
      </c>
      <c r="AX5" s="50">
        <v>2.6670000000000001E-3</v>
      </c>
      <c r="AY5" s="189">
        <v>2.7777777777777776E-2</v>
      </c>
      <c r="AZ5" s="50">
        <f>+AX5*0.5</f>
        <v>1.3335E-3</v>
      </c>
      <c r="BA5" s="50">
        <f>+AY5*0.5</f>
        <v>1.3888888888888888E-2</v>
      </c>
      <c r="BB5" s="45" t="s">
        <v>466</v>
      </c>
      <c r="BC5" s="112">
        <v>50</v>
      </c>
      <c r="BD5" s="45" t="s">
        <v>467</v>
      </c>
      <c r="BE5" s="112">
        <v>20</v>
      </c>
    </row>
    <row r="6" spans="1:57" ht="15.5" x14ac:dyDescent="0.3">
      <c r="A6" s="111"/>
      <c r="C6" s="55"/>
      <c r="D6" s="55"/>
      <c r="E6" s="52"/>
      <c r="F6" s="53" t="s">
        <v>198</v>
      </c>
      <c r="G6" s="54">
        <v>1</v>
      </c>
      <c r="H6" s="94"/>
      <c r="I6" s="53" t="s">
        <v>203</v>
      </c>
      <c r="J6" s="190">
        <v>123</v>
      </c>
      <c r="K6" s="158"/>
      <c r="L6" s="161"/>
      <c r="M6" s="157"/>
      <c r="N6" s="79"/>
      <c r="O6" s="164"/>
      <c r="P6" s="50"/>
      <c r="Q6" s="50"/>
      <c r="R6" s="136" t="s">
        <v>429</v>
      </c>
      <c r="S6" s="137">
        <v>7.9</v>
      </c>
      <c r="T6" s="137">
        <v>0.5</v>
      </c>
      <c r="U6" s="112">
        <f>Y6*$Y$5</f>
        <v>43.2</v>
      </c>
      <c r="V6" s="137">
        <v>4.4000000000000004</v>
      </c>
      <c r="W6" s="135">
        <v>15</v>
      </c>
      <c r="Y6" s="137">
        <v>216</v>
      </c>
      <c r="Z6" s="137"/>
      <c r="AB6" s="112" t="str">
        <f>+CONCATENATE(AC6,"-",AD6)</f>
        <v>10-10</v>
      </c>
      <c r="AC6" s="45">
        <v>10</v>
      </c>
      <c r="AD6" s="45">
        <v>10</v>
      </c>
      <c r="AE6" s="45">
        <f t="shared" ref="AE6" si="0">+(AD6/100)*PI()*(AC6/100)^2</f>
        <v>3.1415926535897937E-3</v>
      </c>
      <c r="AF6" s="190">
        <f>+AD6*$AF$2*10*AE6/$AJ$4</f>
        <v>5.4666666666666674E-3</v>
      </c>
      <c r="AG6" s="192">
        <f>+AE6/$AJ$4</f>
        <v>4.4444444444444452E-4</v>
      </c>
      <c r="AH6" s="195">
        <f>+(PI()*(AC6/100)^2)/$AF$3</f>
        <v>4.4444444444444444E-3</v>
      </c>
      <c r="AW6" s="137">
        <v>216</v>
      </c>
      <c r="AX6" s="173">
        <f>+AW6*$AX$5</f>
        <v>0.57607200000000003</v>
      </c>
      <c r="AY6" s="173">
        <f t="shared" ref="AY6:AY17" si="1">+AW6*$AY$5</f>
        <v>6</v>
      </c>
      <c r="AZ6" s="173">
        <f t="shared" ref="AZ6:AZ17" si="2">+AW6*$AZ$5</f>
        <v>0.28803600000000001</v>
      </c>
      <c r="BA6" s="173">
        <f>+AW6*$AZ$5</f>
        <v>0.28803600000000001</v>
      </c>
      <c r="BC6" s="112">
        <v>50</v>
      </c>
      <c r="BD6" s="45" t="s">
        <v>468</v>
      </c>
      <c r="BE6" s="112">
        <v>30</v>
      </c>
    </row>
    <row r="7" spans="1:57" ht="13.5" thickBot="1" x14ac:dyDescent="0.35">
      <c r="A7" s="111"/>
      <c r="B7" s="188"/>
      <c r="C7" s="47"/>
      <c r="D7" s="47"/>
      <c r="E7" s="56"/>
      <c r="F7" s="53" t="s">
        <v>200</v>
      </c>
      <c r="G7" s="54">
        <v>0.01</v>
      </c>
      <c r="H7" s="95"/>
      <c r="I7" s="53" t="s">
        <v>205</v>
      </c>
      <c r="J7" s="67">
        <v>0</v>
      </c>
      <c r="K7" s="158"/>
      <c r="L7" s="68"/>
      <c r="M7" s="68"/>
      <c r="N7" s="68"/>
      <c r="O7" s="164"/>
      <c r="P7" s="50"/>
      <c r="Q7" s="50"/>
      <c r="R7" s="136" t="s">
        <v>195</v>
      </c>
      <c r="S7" s="137">
        <v>10.6</v>
      </c>
      <c r="T7" s="137">
        <v>1.7</v>
      </c>
      <c r="U7" s="112">
        <f t="shared" ref="U7:U17" si="3">Y7*$Y$5</f>
        <v>34</v>
      </c>
      <c r="V7" s="137">
        <v>7.7</v>
      </c>
      <c r="W7" s="135">
        <v>10</v>
      </c>
      <c r="Y7" s="137">
        <v>170</v>
      </c>
      <c r="Z7" s="137"/>
      <c r="AB7" s="112" t="str">
        <f t="shared" ref="AB7:AB15" si="4">+CONCATENATE(AC7,"-",AD7)</f>
        <v>10-30</v>
      </c>
      <c r="AC7" s="45">
        <v>10</v>
      </c>
      <c r="AD7" s="45">
        <v>30</v>
      </c>
      <c r="AE7" s="45"/>
      <c r="AF7" s="190"/>
      <c r="AG7" s="192"/>
      <c r="AH7" s="195"/>
      <c r="AW7" s="137">
        <v>170</v>
      </c>
      <c r="AX7" s="173">
        <f t="shared" ref="AX7:AX17" si="5">+AW7*$AX$5</f>
        <v>0.45339000000000002</v>
      </c>
      <c r="AY7" s="173">
        <f t="shared" si="1"/>
        <v>4.7222222222222223</v>
      </c>
      <c r="AZ7" s="173">
        <f t="shared" si="2"/>
        <v>0.22669500000000001</v>
      </c>
      <c r="BA7" s="173">
        <f t="shared" ref="BA7:BA17" si="6">+AW7*$AZ$5</f>
        <v>0.22669500000000001</v>
      </c>
      <c r="BC7" s="112">
        <f>+(PI()*BC5^2)*BC6/1000000</f>
        <v>0.39269908169872414</v>
      </c>
      <c r="BD7" s="45" t="s">
        <v>469</v>
      </c>
    </row>
    <row r="8" spans="1:57" ht="15.5" x14ac:dyDescent="0.35">
      <c r="E8" s="52"/>
      <c r="F8" s="53" t="s">
        <v>202</v>
      </c>
      <c r="G8" s="54">
        <v>0.01</v>
      </c>
      <c r="H8" s="96"/>
      <c r="I8" s="53" t="s">
        <v>236</v>
      </c>
      <c r="J8" s="54">
        <v>400</v>
      </c>
      <c r="K8" s="166" t="s">
        <v>425</v>
      </c>
      <c r="L8" s="162"/>
      <c r="M8" s="167"/>
      <c r="N8" s="167"/>
      <c r="O8" s="168"/>
      <c r="P8" s="50"/>
      <c r="Q8" s="50"/>
      <c r="R8" s="136" t="s">
        <v>197</v>
      </c>
      <c r="S8" s="137">
        <v>12.7</v>
      </c>
      <c r="T8" s="137">
        <v>2.2999999999999998</v>
      </c>
      <c r="U8" s="112">
        <f t="shared" si="3"/>
        <v>33.4</v>
      </c>
      <c r="V8" s="137">
        <v>11.3</v>
      </c>
      <c r="W8" s="135">
        <v>9</v>
      </c>
      <c r="Y8" s="137">
        <v>167</v>
      </c>
      <c r="Z8" s="137"/>
      <c r="AB8" s="112" t="str">
        <f t="shared" si="4"/>
        <v>10-50</v>
      </c>
      <c r="AC8" s="45">
        <v>10</v>
      </c>
      <c r="AD8" s="45">
        <v>50</v>
      </c>
      <c r="AE8" s="45"/>
      <c r="AF8" s="190"/>
      <c r="AG8" s="192"/>
      <c r="AH8" s="195"/>
      <c r="AW8" s="137">
        <v>167</v>
      </c>
      <c r="AX8" s="173">
        <f t="shared" si="5"/>
        <v>0.44538900000000003</v>
      </c>
      <c r="AY8" s="173">
        <f t="shared" si="1"/>
        <v>4.6388888888888884</v>
      </c>
      <c r="AZ8" s="173">
        <f t="shared" si="2"/>
        <v>0.22269450000000002</v>
      </c>
      <c r="BA8" s="173">
        <f t="shared" si="6"/>
        <v>0.22269450000000002</v>
      </c>
      <c r="BB8" s="45" t="s">
        <v>470</v>
      </c>
    </row>
    <row r="9" spans="1:57" ht="15.5" x14ac:dyDescent="0.35">
      <c r="E9" s="56"/>
      <c r="F9" s="53" t="s">
        <v>204</v>
      </c>
      <c r="G9" s="54">
        <v>0.01</v>
      </c>
      <c r="H9" s="96"/>
      <c r="I9" s="53"/>
      <c r="J9" s="54"/>
      <c r="K9" s="171"/>
      <c r="L9" s="163"/>
      <c r="M9" s="163"/>
      <c r="N9" s="163"/>
      <c r="O9" s="164"/>
      <c r="P9" s="50"/>
      <c r="Q9" s="50"/>
      <c r="R9" s="136" t="s">
        <v>199</v>
      </c>
      <c r="S9" s="137">
        <v>15.6</v>
      </c>
      <c r="T9" s="137">
        <v>3.3</v>
      </c>
      <c r="U9" s="112">
        <f t="shared" si="3"/>
        <v>19.400000000000002</v>
      </c>
      <c r="V9" s="137">
        <v>15.5</v>
      </c>
      <c r="W9" s="135">
        <v>6</v>
      </c>
      <c r="Y9" s="137">
        <v>97</v>
      </c>
      <c r="Z9" s="137"/>
      <c r="AB9" s="112" t="str">
        <f t="shared" si="4"/>
        <v>30-10</v>
      </c>
      <c r="AC9" s="45">
        <v>30</v>
      </c>
      <c r="AD9" s="45">
        <v>10</v>
      </c>
      <c r="AE9" s="45"/>
      <c r="AF9" s="190"/>
      <c r="AG9" s="192"/>
      <c r="AH9" s="195"/>
      <c r="AW9" s="137">
        <v>97</v>
      </c>
      <c r="AX9" s="173">
        <f t="shared" si="5"/>
        <v>0.25869900000000001</v>
      </c>
      <c r="AY9" s="173">
        <f t="shared" si="1"/>
        <v>2.6944444444444442</v>
      </c>
      <c r="AZ9" s="173">
        <f t="shared" si="2"/>
        <v>0.12934950000000001</v>
      </c>
      <c r="BA9" s="173">
        <f t="shared" si="6"/>
        <v>0.12934950000000001</v>
      </c>
      <c r="BC9" s="112">
        <f>+BC7/(3*3*2)/(PI()/4)</f>
        <v>2.7777777777777776E-2</v>
      </c>
    </row>
    <row r="10" spans="1:57" ht="15.5" x14ac:dyDescent="0.35">
      <c r="A10" s="57"/>
      <c r="B10" s="57"/>
      <c r="C10" s="57"/>
      <c r="D10" s="57"/>
      <c r="E10" s="48"/>
      <c r="F10" s="53" t="s">
        <v>207</v>
      </c>
      <c r="G10" s="54">
        <v>1111</v>
      </c>
      <c r="H10" s="97"/>
      <c r="I10" s="53"/>
      <c r="J10" s="54"/>
      <c r="K10" s="169"/>
      <c r="L10" s="163"/>
      <c r="M10" s="163"/>
      <c r="N10" s="163"/>
      <c r="O10" s="165"/>
      <c r="P10" s="50"/>
      <c r="Q10" s="50"/>
      <c r="R10" s="136" t="s">
        <v>230</v>
      </c>
      <c r="S10" s="137">
        <v>19.5</v>
      </c>
      <c r="T10" s="137">
        <v>5.6</v>
      </c>
      <c r="U10" s="112">
        <f t="shared" si="3"/>
        <v>12</v>
      </c>
      <c r="V10" s="137">
        <v>19.8</v>
      </c>
      <c r="W10" s="135">
        <v>3</v>
      </c>
      <c r="Y10" s="137">
        <v>60</v>
      </c>
      <c r="Z10" s="137"/>
      <c r="AB10" s="112" t="str">
        <f t="shared" si="4"/>
        <v>30-30</v>
      </c>
      <c r="AC10" s="45">
        <v>30</v>
      </c>
      <c r="AD10" s="45">
        <v>30</v>
      </c>
      <c r="AE10" s="45"/>
      <c r="AF10" s="190"/>
      <c r="AG10" s="192"/>
      <c r="AH10" s="195"/>
      <c r="AW10" s="137">
        <v>60</v>
      </c>
      <c r="AX10" s="173">
        <f t="shared" si="5"/>
        <v>0.16002</v>
      </c>
      <c r="AY10" s="173">
        <f t="shared" si="1"/>
        <v>1.6666666666666665</v>
      </c>
      <c r="AZ10" s="173">
        <f t="shared" si="2"/>
        <v>8.0009999999999998E-2</v>
      </c>
      <c r="BA10" s="173">
        <f t="shared" si="6"/>
        <v>8.0009999999999998E-2</v>
      </c>
    </row>
    <row r="11" spans="1:57" ht="15.5" x14ac:dyDescent="0.35">
      <c r="A11" s="57"/>
      <c r="B11" s="57"/>
      <c r="C11" s="57"/>
      <c r="D11" s="57"/>
      <c r="E11" s="48"/>
      <c r="F11" s="53" t="s">
        <v>209</v>
      </c>
      <c r="G11" s="54">
        <f>+J6</f>
        <v>123</v>
      </c>
      <c r="H11" s="97"/>
      <c r="I11" s="53"/>
      <c r="J11" s="54"/>
      <c r="K11" s="170"/>
      <c r="L11" s="175"/>
      <c r="M11" s="175"/>
      <c r="N11" s="175"/>
      <c r="O11" s="176"/>
      <c r="P11" s="50"/>
      <c r="Q11" s="50"/>
      <c r="R11" s="136" t="s">
        <v>193</v>
      </c>
      <c r="S11" s="137">
        <v>23</v>
      </c>
      <c r="T11" s="137">
        <v>9.1</v>
      </c>
      <c r="U11" s="112">
        <f t="shared" si="3"/>
        <v>7</v>
      </c>
      <c r="V11" s="137">
        <v>22.4</v>
      </c>
      <c r="W11" s="135">
        <v>0</v>
      </c>
      <c r="Y11" s="137">
        <v>35</v>
      </c>
      <c r="Z11" s="137"/>
      <c r="AB11" s="112" t="str">
        <f t="shared" si="4"/>
        <v>30-50</v>
      </c>
      <c r="AC11" s="45">
        <v>30</v>
      </c>
      <c r="AD11" s="45">
        <v>50</v>
      </c>
      <c r="AE11" s="45"/>
      <c r="AF11" s="190"/>
      <c r="AG11" s="192"/>
      <c r="AH11" s="195"/>
      <c r="AW11" s="137">
        <v>35</v>
      </c>
      <c r="AX11" s="173">
        <f t="shared" si="5"/>
        <v>9.3344999999999997E-2</v>
      </c>
      <c r="AY11" s="173">
        <f t="shared" si="1"/>
        <v>0.97222222222222221</v>
      </c>
      <c r="AZ11" s="173">
        <f t="shared" si="2"/>
        <v>4.6672499999999999E-2</v>
      </c>
      <c r="BA11" s="173">
        <f t="shared" si="6"/>
        <v>4.6672499999999999E-2</v>
      </c>
    </row>
    <row r="12" spans="1:57" ht="13" x14ac:dyDescent="0.3">
      <c r="A12" s="50"/>
      <c r="B12" s="50"/>
      <c r="C12" s="50"/>
      <c r="D12" s="50"/>
      <c r="E12" s="58"/>
      <c r="F12" s="53"/>
      <c r="G12" s="54"/>
      <c r="H12" s="91"/>
      <c r="I12" s="53"/>
      <c r="J12" s="54"/>
      <c r="K12" s="170"/>
      <c r="L12" s="175"/>
      <c r="M12" s="175"/>
      <c r="N12" s="175"/>
      <c r="O12" s="176"/>
      <c r="P12" s="50"/>
      <c r="Q12" s="50"/>
      <c r="R12" s="136" t="s">
        <v>206</v>
      </c>
      <c r="S12" s="137">
        <v>27.3</v>
      </c>
      <c r="T12" s="137">
        <v>10.3</v>
      </c>
      <c r="U12" s="112">
        <f t="shared" si="3"/>
        <v>2.6</v>
      </c>
      <c r="V12" s="137">
        <v>24.3</v>
      </c>
      <c r="W12" s="135">
        <v>0</v>
      </c>
      <c r="Y12" s="137">
        <v>13</v>
      </c>
      <c r="Z12" s="137"/>
      <c r="AB12" s="112" t="str">
        <f t="shared" si="4"/>
        <v>50-10</v>
      </c>
      <c r="AC12" s="45">
        <v>50</v>
      </c>
      <c r="AD12" s="45">
        <v>10</v>
      </c>
      <c r="AE12" s="45"/>
      <c r="AF12" s="190"/>
      <c r="AG12" s="192"/>
      <c r="AH12" s="195"/>
      <c r="AW12" s="137">
        <v>13</v>
      </c>
      <c r="AX12" s="173">
        <f t="shared" si="5"/>
        <v>3.4671E-2</v>
      </c>
      <c r="AY12" s="173">
        <f t="shared" si="1"/>
        <v>0.3611111111111111</v>
      </c>
      <c r="AZ12" s="173">
        <f t="shared" si="2"/>
        <v>1.73355E-2</v>
      </c>
      <c r="BA12" s="173">
        <f t="shared" si="6"/>
        <v>1.73355E-2</v>
      </c>
    </row>
    <row r="13" spans="1:57" ht="13" x14ac:dyDescent="0.3">
      <c r="A13" s="50"/>
      <c r="B13" s="50"/>
      <c r="C13" s="50"/>
      <c r="D13" s="50"/>
      <c r="E13" s="58"/>
      <c r="F13" s="53"/>
      <c r="G13" s="54"/>
      <c r="H13" s="91"/>
      <c r="I13" s="53"/>
      <c r="J13" s="54"/>
      <c r="K13" s="170"/>
      <c r="L13" s="175"/>
      <c r="M13" s="175"/>
      <c r="N13" s="175"/>
      <c r="O13" s="176"/>
      <c r="P13" s="50"/>
      <c r="Q13" s="50"/>
      <c r="R13" s="136" t="s">
        <v>208</v>
      </c>
      <c r="S13" s="137">
        <v>27.2</v>
      </c>
      <c r="T13" s="137">
        <v>10.4</v>
      </c>
      <c r="U13" s="112">
        <f t="shared" si="3"/>
        <v>4.4000000000000004</v>
      </c>
      <c r="V13" s="137">
        <v>20.9</v>
      </c>
      <c r="W13" s="135">
        <v>0</v>
      </c>
      <c r="Y13" s="137">
        <v>22</v>
      </c>
      <c r="Z13" s="137"/>
      <c r="AB13" s="112" t="str">
        <f t="shared" si="4"/>
        <v>50-30</v>
      </c>
      <c r="AC13" s="45">
        <v>50</v>
      </c>
      <c r="AD13" s="45">
        <v>30</v>
      </c>
      <c r="AE13" s="45"/>
      <c r="AF13" s="190"/>
      <c r="AG13" s="192"/>
      <c r="AH13" s="195"/>
      <c r="AW13" s="137">
        <v>22</v>
      </c>
      <c r="AX13" s="173">
        <f t="shared" si="5"/>
        <v>5.8674000000000004E-2</v>
      </c>
      <c r="AY13" s="173">
        <f t="shared" si="1"/>
        <v>0.61111111111111105</v>
      </c>
      <c r="AZ13" s="173">
        <f t="shared" si="2"/>
        <v>2.9337000000000002E-2</v>
      </c>
      <c r="BA13" s="173">
        <f t="shared" si="6"/>
        <v>2.9337000000000002E-2</v>
      </c>
    </row>
    <row r="14" spans="1:57" ht="13" x14ac:dyDescent="0.3">
      <c r="A14" s="50"/>
      <c r="B14" s="50"/>
      <c r="C14" s="50"/>
      <c r="D14" s="50"/>
      <c r="E14" s="58"/>
      <c r="F14" s="53"/>
      <c r="G14" s="54"/>
      <c r="H14" s="91"/>
      <c r="I14" s="53"/>
      <c r="J14" s="54"/>
      <c r="K14" s="170"/>
      <c r="L14" s="175"/>
      <c r="M14" s="175"/>
      <c r="N14" s="175"/>
      <c r="O14" s="176"/>
      <c r="P14" s="50"/>
      <c r="Q14" s="50"/>
      <c r="R14" s="136" t="s">
        <v>210</v>
      </c>
      <c r="S14" s="137">
        <v>24.7</v>
      </c>
      <c r="T14" s="137">
        <v>8.5</v>
      </c>
      <c r="U14" s="112">
        <f t="shared" si="3"/>
        <v>9</v>
      </c>
      <c r="V14" s="137">
        <v>16.2</v>
      </c>
      <c r="W14" s="135">
        <v>1</v>
      </c>
      <c r="Y14" s="137">
        <v>45</v>
      </c>
      <c r="Z14" s="137"/>
      <c r="AB14" s="112" t="str">
        <f t="shared" si="4"/>
        <v>50-50</v>
      </c>
      <c r="AC14" s="45">
        <v>50</v>
      </c>
      <c r="AD14" s="45">
        <v>50</v>
      </c>
      <c r="AE14" s="45"/>
      <c r="AF14" s="190"/>
      <c r="AG14" s="192"/>
      <c r="AH14" s="195"/>
      <c r="AW14" s="137">
        <v>45</v>
      </c>
      <c r="AX14" s="173">
        <f t="shared" si="5"/>
        <v>0.12001500000000001</v>
      </c>
      <c r="AY14" s="173">
        <f t="shared" si="1"/>
        <v>1.25</v>
      </c>
      <c r="AZ14" s="173">
        <f t="shared" si="2"/>
        <v>6.0007500000000005E-2</v>
      </c>
      <c r="BA14" s="173">
        <f t="shared" si="6"/>
        <v>6.0007500000000005E-2</v>
      </c>
      <c r="BB14" s="50"/>
    </row>
    <row r="15" spans="1:57" ht="16" thickBot="1" x14ac:dyDescent="0.4">
      <c r="A15" s="50"/>
      <c r="B15" s="50"/>
      <c r="C15" s="50"/>
      <c r="D15" s="50"/>
      <c r="E15" s="98"/>
      <c r="F15" s="99"/>
      <c r="G15" s="99"/>
      <c r="H15" s="100"/>
      <c r="I15" s="99"/>
      <c r="J15" s="99"/>
      <c r="K15" s="104"/>
      <c r="L15" s="105"/>
      <c r="M15" s="105"/>
      <c r="N15" s="105"/>
      <c r="O15" s="106"/>
      <c r="P15" s="50"/>
      <c r="Q15" s="50"/>
      <c r="R15" s="136" t="s">
        <v>211</v>
      </c>
      <c r="S15" s="137">
        <v>17.8</v>
      </c>
      <c r="T15" s="137">
        <v>6.5</v>
      </c>
      <c r="U15" s="112">
        <f t="shared" si="3"/>
        <v>20.200000000000003</v>
      </c>
      <c r="V15" s="137">
        <v>9.3000000000000007</v>
      </c>
      <c r="W15" s="135">
        <v>2</v>
      </c>
      <c r="Y15" s="137">
        <v>101</v>
      </c>
      <c r="Z15" s="137"/>
      <c r="AB15" s="112" t="str">
        <f t="shared" si="4"/>
        <v>150-100</v>
      </c>
      <c r="AC15" s="112">
        <v>150</v>
      </c>
      <c r="AD15" s="112">
        <v>100</v>
      </c>
      <c r="AE15" s="45"/>
      <c r="AF15" s="190"/>
      <c r="AG15" s="192"/>
      <c r="AH15" s="195"/>
      <c r="AW15" s="137">
        <v>101</v>
      </c>
      <c r="AX15" s="173">
        <f t="shared" si="5"/>
        <v>0.26936700000000002</v>
      </c>
      <c r="AY15" s="173">
        <f t="shared" si="1"/>
        <v>2.8055555555555554</v>
      </c>
      <c r="AZ15" s="173">
        <f t="shared" si="2"/>
        <v>0.13468350000000001</v>
      </c>
      <c r="BA15" s="173">
        <f t="shared" si="6"/>
        <v>0.13468350000000001</v>
      </c>
      <c r="BB15" s="50"/>
    </row>
    <row r="16" spans="1:57" ht="15.5" x14ac:dyDescent="0.35">
      <c r="A16" s="50"/>
      <c r="B16" s="50"/>
      <c r="C16" s="50"/>
      <c r="D16" s="50"/>
      <c r="E16" s="71"/>
      <c r="F16" s="69" t="s">
        <v>228</v>
      </c>
      <c r="G16" s="59"/>
      <c r="H16" s="60"/>
      <c r="I16" s="59"/>
      <c r="J16" s="59"/>
      <c r="K16" s="59"/>
      <c r="L16" s="59"/>
      <c r="M16" s="59"/>
      <c r="N16" s="59"/>
      <c r="O16" s="107"/>
      <c r="P16" s="50"/>
      <c r="Q16" s="50"/>
      <c r="R16" s="136" t="s">
        <v>214</v>
      </c>
      <c r="S16" s="137">
        <v>11.4</v>
      </c>
      <c r="T16" s="137">
        <v>3.6</v>
      </c>
      <c r="U16" s="112">
        <f t="shared" si="3"/>
        <v>47.6</v>
      </c>
      <c r="V16" s="137">
        <v>4.8</v>
      </c>
      <c r="W16" s="135">
        <v>6</v>
      </c>
      <c r="Y16" s="137">
        <v>238</v>
      </c>
      <c r="Z16" s="137"/>
      <c r="AW16" s="137">
        <v>238</v>
      </c>
      <c r="AX16" s="173">
        <f t="shared" si="5"/>
        <v>0.63474600000000003</v>
      </c>
      <c r="AY16" s="173">
        <f t="shared" si="1"/>
        <v>6.6111111111111107</v>
      </c>
      <c r="AZ16" s="173">
        <f t="shared" si="2"/>
        <v>0.31737300000000002</v>
      </c>
      <c r="BA16" s="173">
        <f t="shared" si="6"/>
        <v>0.31737300000000002</v>
      </c>
      <c r="BB16" s="50"/>
    </row>
    <row r="17" spans="1:54" ht="13" x14ac:dyDescent="0.3">
      <c r="A17" s="50"/>
      <c r="B17" s="50"/>
      <c r="C17" s="50"/>
      <c r="D17" s="50"/>
      <c r="E17" s="61"/>
      <c r="F17" s="59"/>
      <c r="G17" s="62" t="s">
        <v>212</v>
      </c>
      <c r="H17" s="63" t="s">
        <v>213</v>
      </c>
      <c r="I17" s="75"/>
      <c r="J17" s="75"/>
      <c r="K17" s="75"/>
      <c r="L17" s="75"/>
      <c r="M17" s="75"/>
      <c r="N17" s="75"/>
      <c r="O17" s="84"/>
      <c r="P17" s="50"/>
      <c r="Q17" s="50"/>
      <c r="R17" s="136" t="s">
        <v>215</v>
      </c>
      <c r="S17" s="137">
        <v>8.4</v>
      </c>
      <c r="T17" s="137">
        <v>1.7</v>
      </c>
      <c r="U17" s="112">
        <f t="shared" si="3"/>
        <v>49.400000000000006</v>
      </c>
      <c r="V17" s="137">
        <v>3.6</v>
      </c>
      <c r="W17" s="135">
        <v>11</v>
      </c>
      <c r="Y17" s="137">
        <v>247</v>
      </c>
      <c r="Z17" s="137"/>
      <c r="AW17" s="137">
        <v>247</v>
      </c>
      <c r="AX17" s="173">
        <f t="shared" si="5"/>
        <v>0.65874900000000003</v>
      </c>
      <c r="AY17" s="173">
        <f t="shared" si="1"/>
        <v>6.8611111111111107</v>
      </c>
      <c r="AZ17" s="173">
        <f t="shared" si="2"/>
        <v>0.32937450000000001</v>
      </c>
      <c r="BA17" s="173">
        <f t="shared" si="6"/>
        <v>0.32937450000000001</v>
      </c>
      <c r="BB17" s="50"/>
    </row>
    <row r="18" spans="1:54" ht="13" x14ac:dyDescent="0.25">
      <c r="A18" s="50"/>
      <c r="B18" s="50"/>
      <c r="C18" s="50"/>
      <c r="D18" s="50"/>
      <c r="E18" s="61"/>
      <c r="F18" s="59"/>
      <c r="G18" s="62" t="s">
        <v>229</v>
      </c>
      <c r="H18" s="63" t="s">
        <v>465</v>
      </c>
      <c r="I18" s="75"/>
      <c r="J18" s="75"/>
      <c r="K18" s="75"/>
      <c r="L18" s="75"/>
      <c r="M18" s="75"/>
      <c r="N18" s="75"/>
      <c r="O18" s="72"/>
      <c r="P18" s="50"/>
      <c r="Q18" s="50"/>
      <c r="R18" s="50"/>
      <c r="S18" s="50"/>
      <c r="Y18" s="50"/>
      <c r="Z18" s="140"/>
      <c r="AA18" s="173"/>
    </row>
    <row r="19" spans="1:54" ht="15.5" x14ac:dyDescent="0.35">
      <c r="A19" s="73"/>
      <c r="B19" s="73"/>
      <c r="C19" s="73"/>
      <c r="D19" s="73"/>
      <c r="E19" s="61"/>
      <c r="F19" s="59"/>
      <c r="G19" s="62" t="s">
        <v>232</v>
      </c>
      <c r="H19" s="63"/>
      <c r="I19" s="63"/>
      <c r="J19" s="63"/>
      <c r="K19" s="63"/>
      <c r="L19" s="63"/>
      <c r="M19" s="63"/>
      <c r="N19" s="63"/>
      <c r="O19" s="72"/>
      <c r="P19" s="50"/>
      <c r="Q19" s="50"/>
      <c r="R19" s="50"/>
      <c r="S19" s="50"/>
      <c r="Y19" s="50"/>
      <c r="Z19" s="140"/>
      <c r="AA19" s="173"/>
    </row>
    <row r="20" spans="1:54" ht="13" x14ac:dyDescent="0.25">
      <c r="A20" s="50"/>
      <c r="B20" s="50"/>
      <c r="C20" s="50"/>
      <c r="D20" s="50"/>
      <c r="E20" s="61"/>
      <c r="F20" s="59"/>
      <c r="G20" s="62" t="s">
        <v>234</v>
      </c>
      <c r="H20" s="63"/>
      <c r="I20" s="63"/>
      <c r="J20" s="63"/>
      <c r="K20" s="63"/>
      <c r="L20" s="63"/>
      <c r="M20" s="63"/>
      <c r="N20" s="63"/>
      <c r="O20" s="88"/>
      <c r="P20" s="50"/>
      <c r="Q20" s="50"/>
      <c r="R20" s="50"/>
      <c r="S20" s="50"/>
      <c r="Y20" s="50"/>
      <c r="Z20" s="140"/>
      <c r="AA20" s="173"/>
    </row>
    <row r="21" spans="1:54" ht="13.5" thickBot="1" x14ac:dyDescent="0.3">
      <c r="A21" s="50"/>
      <c r="B21" s="50"/>
      <c r="C21" s="50"/>
      <c r="D21" s="50"/>
      <c r="E21" s="81"/>
      <c r="F21" s="76"/>
      <c r="G21" s="82"/>
      <c r="H21" s="83"/>
      <c r="I21" s="76"/>
      <c r="J21" s="76"/>
      <c r="K21" s="76"/>
      <c r="L21" s="76"/>
      <c r="M21" s="76"/>
      <c r="N21" s="76"/>
      <c r="O21" s="77"/>
      <c r="P21" s="50"/>
      <c r="Q21" s="50"/>
      <c r="R21" s="50"/>
      <c r="S21" s="50"/>
      <c r="Y21" s="50"/>
      <c r="Z21" s="140"/>
      <c r="AA21" s="173"/>
    </row>
    <row r="22" spans="1:54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Y22" s="50"/>
      <c r="Z22" s="140"/>
      <c r="AA22" s="173"/>
    </row>
    <row r="23" spans="1:54" x14ac:dyDescent="0.25">
      <c r="H23" s="135"/>
      <c r="I23" s="135"/>
      <c r="J23" s="135"/>
      <c r="K23" s="135"/>
      <c r="L23" s="135"/>
      <c r="M23" s="135"/>
      <c r="N23" s="135"/>
      <c r="O23" s="135"/>
      <c r="Y23" s="50"/>
      <c r="Z23" s="140"/>
      <c r="AA23" s="173"/>
    </row>
    <row r="24" spans="1:54" ht="13" x14ac:dyDescent="0.25">
      <c r="H24" s="135"/>
      <c r="I24" s="135"/>
      <c r="J24" s="135"/>
      <c r="K24" s="135"/>
      <c r="L24" s="135"/>
      <c r="M24" s="135"/>
      <c r="N24" s="135"/>
      <c r="P24" s="138"/>
      <c r="Q24" s="138"/>
      <c r="R24" s="138"/>
      <c r="S24" s="138"/>
      <c r="Y24" s="50"/>
      <c r="Z24" s="140"/>
      <c r="AA24" s="173"/>
    </row>
    <row r="25" spans="1:54" ht="13" x14ac:dyDescent="0.25">
      <c r="A25" s="135"/>
      <c r="B25" s="135"/>
      <c r="C25" s="135"/>
      <c r="D25" s="135"/>
      <c r="E25" s="135"/>
      <c r="F25" s="135"/>
      <c r="G25" s="135"/>
      <c r="H25" s="135"/>
      <c r="I25" s="135"/>
      <c r="J25" s="135"/>
      <c r="K25" s="138"/>
      <c r="L25" s="138"/>
      <c r="M25" s="135"/>
      <c r="N25" s="135"/>
      <c r="O25" s="135"/>
      <c r="P25" s="135"/>
      <c r="Q25" s="135"/>
      <c r="R25" s="135"/>
      <c r="S25" s="135"/>
      <c r="Y25" s="135"/>
      <c r="Z25" s="140"/>
      <c r="AA25" s="173"/>
    </row>
    <row r="26" spans="1:54" x14ac:dyDescent="0.25">
      <c r="A26" s="139" t="s">
        <v>238</v>
      </c>
      <c r="B26" s="135"/>
      <c r="C26" s="78"/>
      <c r="D26" s="135"/>
      <c r="E26" s="135"/>
      <c r="F26" s="135"/>
      <c r="G26" s="135"/>
      <c r="H26" s="135"/>
      <c r="I26" s="139"/>
      <c r="J26" s="135"/>
      <c r="K26" s="135"/>
      <c r="L26" s="135"/>
      <c r="M26" s="135"/>
      <c r="N26" s="135"/>
      <c r="O26" s="135"/>
      <c r="P26" s="135"/>
      <c r="Q26" s="135"/>
      <c r="R26" s="135"/>
      <c r="S26" s="139"/>
      <c r="Y26" s="135"/>
      <c r="Z26" s="140"/>
      <c r="AA26" s="173"/>
    </row>
    <row r="27" spans="1:54" ht="15.5" x14ac:dyDescent="0.25">
      <c r="A27" s="147" t="s">
        <v>452</v>
      </c>
      <c r="B27" s="135"/>
      <c r="C27" s="135"/>
      <c r="D27" s="135"/>
      <c r="E27" s="135"/>
      <c r="F27" s="135"/>
      <c r="G27" s="135"/>
      <c r="H27" s="135"/>
      <c r="I27" s="135"/>
      <c r="J27" s="135"/>
      <c r="K27" s="135"/>
      <c r="L27" s="194" t="s">
        <v>487</v>
      </c>
      <c r="M27" s="194" t="s">
        <v>488</v>
      </c>
      <c r="N27" s="135"/>
      <c r="O27" s="135"/>
      <c r="P27" s="135"/>
      <c r="Q27" s="135"/>
      <c r="R27" s="135"/>
      <c r="S27" s="147"/>
      <c r="Y27" s="135"/>
      <c r="Z27" s="140"/>
      <c r="AA27" s="173"/>
    </row>
    <row r="28" spans="1:54" ht="26" x14ac:dyDescent="0.25">
      <c r="A28" s="138" t="s">
        <v>216</v>
      </c>
      <c r="B28" s="138" t="s">
        <v>190</v>
      </c>
      <c r="C28" s="138" t="s">
        <v>217</v>
      </c>
      <c r="D28" s="138" t="s">
        <v>218</v>
      </c>
      <c r="E28" s="138" t="s">
        <v>220</v>
      </c>
      <c r="F28" s="138" t="s">
        <v>221</v>
      </c>
      <c r="G28" s="138" t="s">
        <v>223</v>
      </c>
      <c r="H28" s="138" t="s">
        <v>191</v>
      </c>
      <c r="I28" s="138" t="s">
        <v>426</v>
      </c>
      <c r="J28" s="138" t="s">
        <v>341</v>
      </c>
      <c r="K28" s="138" t="s">
        <v>380</v>
      </c>
      <c r="L28" s="138" t="s">
        <v>484</v>
      </c>
      <c r="M28" s="138" t="s">
        <v>484</v>
      </c>
      <c r="N28" s="138"/>
      <c r="O28" s="139"/>
      <c r="P28" s="135"/>
      <c r="Q28" s="135"/>
      <c r="R28" s="135"/>
      <c r="S28" s="135"/>
      <c r="Y28" s="138"/>
      <c r="Z28" s="140"/>
      <c r="AA28" s="173"/>
    </row>
    <row r="29" spans="1:54" ht="13" x14ac:dyDescent="0.25">
      <c r="A29" s="138" t="s">
        <v>453</v>
      </c>
      <c r="B29" s="138">
        <v>0</v>
      </c>
      <c r="C29" s="140">
        <v>1111</v>
      </c>
      <c r="D29" s="173">
        <v>0.01</v>
      </c>
      <c r="E29" s="173">
        <v>0.01</v>
      </c>
      <c r="F29" s="173">
        <v>2.1249999999999998E-2</v>
      </c>
      <c r="G29" s="173">
        <v>0.3991691896495933</v>
      </c>
      <c r="H29" s="173">
        <v>5.5000000000000005E-3</v>
      </c>
      <c r="I29" s="173"/>
      <c r="J29" s="173"/>
      <c r="K29" s="138">
        <v>123</v>
      </c>
      <c r="L29" s="193">
        <f>+D29+E29</f>
        <v>0.02</v>
      </c>
      <c r="M29" s="191">
        <f>1000000*L29/C29</f>
        <v>18.001800180018002</v>
      </c>
      <c r="N29" s="138"/>
      <c r="O29" s="138"/>
      <c r="P29" s="138"/>
      <c r="Q29" s="138"/>
      <c r="R29" s="138"/>
      <c r="S29" s="138"/>
      <c r="Y29" s="138"/>
      <c r="Z29" s="140"/>
      <c r="AA29" s="173"/>
    </row>
    <row r="30" spans="1:54" x14ac:dyDescent="0.25">
      <c r="A30" s="140" t="s">
        <v>454</v>
      </c>
      <c r="B30" s="140">
        <v>8.3333333333333329E-2</v>
      </c>
      <c r="C30" s="140">
        <v>1111</v>
      </c>
      <c r="D30" s="173">
        <v>1.0297259421826323E-2</v>
      </c>
      <c r="E30" s="173">
        <v>1.0149429281844528E-2</v>
      </c>
      <c r="F30" s="173">
        <v>2.1564644063475281E-2</v>
      </c>
      <c r="G30" s="173">
        <v>0.40160717657050699</v>
      </c>
      <c r="H30" s="173">
        <v>5.6634926820044781E-3</v>
      </c>
      <c r="I30" s="173">
        <v>6.2290816493615529E-2</v>
      </c>
      <c r="J30" s="173">
        <v>1</v>
      </c>
      <c r="K30" s="173">
        <v>123</v>
      </c>
      <c r="L30" s="193">
        <f t="shared" ref="L30:L41" si="7">+D30+E30</f>
        <v>2.0446688703670852E-2</v>
      </c>
      <c r="M30" s="191">
        <f t="shared" ref="M30:M41" si="8">1000000*L30/C30</f>
        <v>18.403860219325697</v>
      </c>
      <c r="N30" s="135"/>
      <c r="O30" s="135"/>
      <c r="P30" s="135"/>
      <c r="Q30" s="135"/>
      <c r="R30" s="135"/>
      <c r="S30" s="135"/>
      <c r="Y30" s="135"/>
      <c r="Z30" s="140"/>
      <c r="AA30" s="173"/>
    </row>
    <row r="31" spans="1:54" x14ac:dyDescent="0.25">
      <c r="A31" s="140" t="s">
        <v>455</v>
      </c>
      <c r="B31" s="140">
        <v>0.16666666666666666</v>
      </c>
      <c r="C31" s="140">
        <v>1111</v>
      </c>
      <c r="D31" s="173">
        <v>1.1798163573967884E-2</v>
      </c>
      <c r="E31" s="173">
        <v>1.0886564868900569E-2</v>
      </c>
      <c r="F31" s="173">
        <v>2.3127759975106826E-2</v>
      </c>
      <c r="G31" s="173">
        <v>0.41333451040601976</v>
      </c>
      <c r="H31" s="173">
        <v>6.4889899656823367E-3</v>
      </c>
      <c r="I31" s="173">
        <v>0.10295972136020154</v>
      </c>
      <c r="J31" s="173">
        <v>1</v>
      </c>
      <c r="K31" s="173">
        <v>123</v>
      </c>
      <c r="L31" s="193">
        <f t="shared" si="7"/>
        <v>2.2684728442868451E-2</v>
      </c>
      <c r="M31" s="191">
        <f t="shared" si="8"/>
        <v>20.418297428324436</v>
      </c>
      <c r="N31" s="110"/>
      <c r="O31" s="135"/>
      <c r="P31" s="135"/>
      <c r="Q31" s="135"/>
      <c r="R31" s="135"/>
      <c r="S31" s="135"/>
      <c r="Y31" s="135"/>
      <c r="Z31" s="140"/>
      <c r="AA31" s="173"/>
    </row>
    <row r="32" spans="1:54" x14ac:dyDescent="0.25">
      <c r="A32" s="140" t="s">
        <v>456</v>
      </c>
      <c r="B32" s="140">
        <v>0.25</v>
      </c>
      <c r="C32" s="140">
        <v>1111</v>
      </c>
      <c r="D32" s="173">
        <v>1.4787917563458926E-2</v>
      </c>
      <c r="E32" s="173">
        <v>1.2367301227494746E-2</v>
      </c>
      <c r="F32" s="173">
        <v>2.6269994094141658E-2</v>
      </c>
      <c r="G32" s="173">
        <v>0.43555024584688418</v>
      </c>
      <c r="H32" s="173">
        <v>8.1333546599024094E-3</v>
      </c>
      <c r="I32" s="173">
        <v>0.16191682341179392</v>
      </c>
      <c r="J32" s="173">
        <v>1</v>
      </c>
      <c r="K32" s="173">
        <v>123</v>
      </c>
      <c r="L32" s="193">
        <f t="shared" si="7"/>
        <v>2.7155218790953672E-2</v>
      </c>
      <c r="M32" s="191">
        <f t="shared" si="8"/>
        <v>24.442141125970902</v>
      </c>
      <c r="N32" s="110"/>
      <c r="O32" s="135"/>
      <c r="P32" s="135"/>
      <c r="Q32" s="135"/>
      <c r="R32" s="135"/>
      <c r="S32" s="135"/>
      <c r="Y32" s="135"/>
      <c r="Z32" s="140"/>
      <c r="AA32" s="173"/>
    </row>
    <row r="33" spans="1:27" x14ac:dyDescent="0.25">
      <c r="A33" s="140" t="s">
        <v>457</v>
      </c>
      <c r="B33" s="140">
        <v>0.33333333333333331</v>
      </c>
      <c r="C33" s="140">
        <v>1111</v>
      </c>
      <c r="D33" s="173">
        <v>2.0645229512258924E-2</v>
      </c>
      <c r="E33" s="173">
        <v>1.5323625371145467E-2</v>
      </c>
      <c r="F33" s="173">
        <v>3.2545367903827838E-2</v>
      </c>
      <c r="G33" s="173">
        <v>0.47561190468946102</v>
      </c>
      <c r="H33" s="173">
        <v>1.1354876231742408E-2</v>
      </c>
      <c r="I33" s="173">
        <v>0.28269496919115711</v>
      </c>
      <c r="J33" s="173">
        <v>1</v>
      </c>
      <c r="K33" s="173">
        <v>123</v>
      </c>
      <c r="L33" s="193">
        <f t="shared" si="7"/>
        <v>3.5968854883404393E-2</v>
      </c>
      <c r="M33" s="191">
        <f t="shared" si="8"/>
        <v>32.375206915755527</v>
      </c>
      <c r="N33" s="110"/>
      <c r="O33" s="135"/>
      <c r="P33" s="135"/>
      <c r="Q33" s="135"/>
      <c r="R33" s="135"/>
      <c r="S33" s="135"/>
      <c r="Y33" s="135"/>
      <c r="Z33" s="140"/>
      <c r="AA33" s="173"/>
    </row>
    <row r="34" spans="1:27" x14ac:dyDescent="0.25">
      <c r="A34" s="140" t="s">
        <v>458</v>
      </c>
      <c r="B34" s="140">
        <v>0.41666666666666663</v>
      </c>
      <c r="C34" s="140">
        <v>1111</v>
      </c>
      <c r="D34" s="173">
        <v>3.0317972453298741E-2</v>
      </c>
      <c r="E34" s="173">
        <v>2.0374021984168142E-2</v>
      </c>
      <c r="F34" s="173">
        <v>4.326605972838031E-2</v>
      </c>
      <c r="G34" s="173">
        <v>0.53461486069085207</v>
      </c>
      <c r="H34" s="173">
        <v>1.6674884849314307E-2</v>
      </c>
      <c r="I34" s="173">
        <v>0.44591287715182143</v>
      </c>
      <c r="J34" s="173">
        <v>1</v>
      </c>
      <c r="K34" s="173">
        <v>123</v>
      </c>
      <c r="L34" s="193">
        <f t="shared" si="7"/>
        <v>5.0691994437466886E-2</v>
      </c>
      <c r="M34" s="191">
        <f t="shared" si="8"/>
        <v>45.627357729493148</v>
      </c>
      <c r="N34" s="110"/>
      <c r="O34" s="135"/>
      <c r="P34" s="135"/>
      <c r="Q34" s="135"/>
      <c r="R34" s="135"/>
      <c r="S34" s="135"/>
      <c r="Y34" s="135"/>
      <c r="Z34" s="140"/>
      <c r="AA34" s="173"/>
    </row>
    <row r="35" spans="1:27" x14ac:dyDescent="0.25">
      <c r="A35" s="140" t="s">
        <v>459</v>
      </c>
      <c r="B35" s="140">
        <v>0.49999999999999994</v>
      </c>
      <c r="C35" s="140">
        <v>1111</v>
      </c>
      <c r="D35" s="173">
        <v>4.2557565631321209E-2</v>
      </c>
      <c r="E35" s="173">
        <v>2.7066727762823987E-2</v>
      </c>
      <c r="F35" s="173">
        <v>5.7471103571982908E-2</v>
      </c>
      <c r="G35" s="173">
        <v>0.60073520363324806</v>
      </c>
      <c r="H35" s="173">
        <v>2.3406661097226666E-2</v>
      </c>
      <c r="I35" s="173">
        <v>0.76930314860359972</v>
      </c>
      <c r="J35" s="173">
        <v>1</v>
      </c>
      <c r="K35" s="173">
        <v>123</v>
      </c>
      <c r="L35" s="193">
        <f t="shared" si="7"/>
        <v>6.9624293394145192E-2</v>
      </c>
      <c r="M35" s="191">
        <f t="shared" si="8"/>
        <v>62.668130867817453</v>
      </c>
      <c r="N35" s="110"/>
      <c r="O35" s="135"/>
      <c r="P35" s="135"/>
      <c r="Q35" s="135"/>
      <c r="R35" s="135"/>
      <c r="S35" s="135"/>
      <c r="Y35" s="135"/>
      <c r="Z35" s="140"/>
      <c r="AA35" s="173"/>
    </row>
    <row r="36" spans="1:27" x14ac:dyDescent="0.25">
      <c r="A36" s="140" t="s">
        <v>460</v>
      </c>
      <c r="B36" s="140">
        <v>0.58333333333333326</v>
      </c>
      <c r="C36" s="140">
        <v>1111</v>
      </c>
      <c r="D36" s="173">
        <v>5.6987380500511983E-2</v>
      </c>
      <c r="E36" s="173">
        <v>3.5331690006019746E-2</v>
      </c>
      <c r="F36" s="173">
        <v>7.501043598456035E-2</v>
      </c>
      <c r="G36" s="173">
        <v>0.67018189587101029</v>
      </c>
      <c r="H36" s="173">
        <v>3.1343059275281596E-2</v>
      </c>
      <c r="I36" s="173">
        <v>0.97935630403620832</v>
      </c>
      <c r="J36" s="173">
        <v>1</v>
      </c>
      <c r="K36" s="173">
        <v>123</v>
      </c>
      <c r="L36" s="193">
        <f t="shared" si="7"/>
        <v>9.2319070506531736E-2</v>
      </c>
      <c r="M36" s="191">
        <f t="shared" si="8"/>
        <v>83.095473003178881</v>
      </c>
      <c r="N36" s="110"/>
      <c r="O36" s="135"/>
      <c r="P36" s="135"/>
      <c r="Q36" s="135"/>
      <c r="R36" s="135"/>
      <c r="S36" s="135"/>
      <c r="Y36" s="135"/>
      <c r="Z36" s="140"/>
      <c r="AA36" s="173"/>
    </row>
    <row r="37" spans="1:27" x14ac:dyDescent="0.25">
      <c r="A37" s="140" t="s">
        <v>461</v>
      </c>
      <c r="B37" s="140">
        <v>0.66666666666666663</v>
      </c>
      <c r="C37" s="140">
        <v>1111</v>
      </c>
      <c r="D37" s="173">
        <v>7.2126489086478798E-2</v>
      </c>
      <c r="E37" s="173">
        <v>4.4396321349737131E-2</v>
      </c>
      <c r="F37" s="173">
        <v>9.424277156860382E-2</v>
      </c>
      <c r="G37" s="173">
        <v>0.73605404875501845</v>
      </c>
      <c r="H37" s="173">
        <v>3.966956899756334E-2</v>
      </c>
      <c r="I37" s="173">
        <v>1.0505123940670313</v>
      </c>
      <c r="J37" s="173">
        <v>1</v>
      </c>
      <c r="K37" s="173">
        <v>123</v>
      </c>
      <c r="L37" s="193">
        <f t="shared" si="7"/>
        <v>0.11652281043621593</v>
      </c>
      <c r="M37" s="191">
        <f t="shared" si="8"/>
        <v>104.88101749434378</v>
      </c>
      <c r="N37" s="110"/>
      <c r="O37" s="135"/>
      <c r="P37" s="135"/>
      <c r="Q37" s="135"/>
      <c r="R37" s="135"/>
      <c r="S37" s="135"/>
      <c r="W37" s="135"/>
      <c r="X37" s="135"/>
      <c r="Y37" s="135"/>
      <c r="Z37" s="140"/>
      <c r="AA37" s="173"/>
    </row>
    <row r="38" spans="1:27" x14ac:dyDescent="0.25">
      <c r="A38" s="140" t="s">
        <v>462</v>
      </c>
      <c r="B38" s="140">
        <v>0.75</v>
      </c>
      <c r="C38" s="140">
        <v>1111</v>
      </c>
      <c r="D38" s="173">
        <v>8.5134776460603231E-2</v>
      </c>
      <c r="E38" s="173">
        <v>5.2506849014861086E-2</v>
      </c>
      <c r="F38" s="173">
        <v>0.11144512930947749</v>
      </c>
      <c r="G38" s="173">
        <v>0.78854104559097993</v>
      </c>
      <c r="H38" s="173">
        <v>4.6824127053331777E-2</v>
      </c>
      <c r="I38" s="173">
        <v>0.80643376264051203</v>
      </c>
      <c r="J38" s="173">
        <v>1</v>
      </c>
      <c r="K38" s="173">
        <v>123</v>
      </c>
      <c r="L38" s="193">
        <f t="shared" si="7"/>
        <v>0.13764162547546432</v>
      </c>
      <c r="M38" s="191">
        <f t="shared" si="8"/>
        <v>123.88985191310921</v>
      </c>
      <c r="N38" s="110"/>
      <c r="O38" s="135"/>
      <c r="P38" s="135"/>
      <c r="Q38" s="135"/>
      <c r="R38" s="135"/>
      <c r="S38" s="135"/>
      <c r="W38" s="135"/>
      <c r="X38" s="135"/>
      <c r="Y38" s="135"/>
      <c r="Z38" s="140"/>
      <c r="AA38" s="173"/>
    </row>
    <row r="39" spans="1:27" x14ac:dyDescent="0.25">
      <c r="A39" s="140" t="s">
        <v>463</v>
      </c>
      <c r="B39" s="140">
        <v>0.83333333333333337</v>
      </c>
      <c r="C39" s="140">
        <v>1111</v>
      </c>
      <c r="D39" s="173">
        <v>9.0629174422487552E-2</v>
      </c>
      <c r="E39" s="173">
        <v>5.6103137032148316E-2</v>
      </c>
      <c r="F39" s="173">
        <v>0.11906295028500137</v>
      </c>
      <c r="G39" s="173">
        <v>0.81028093806666812</v>
      </c>
      <c r="H39" s="173">
        <v>4.9846045932368153E-2</v>
      </c>
      <c r="I39" s="173">
        <v>0.45184950193538309</v>
      </c>
      <c r="J39" s="173">
        <v>1</v>
      </c>
      <c r="K39" s="173">
        <v>123.00000000000001</v>
      </c>
      <c r="L39" s="193">
        <f t="shared" si="7"/>
        <v>0.14673231145463586</v>
      </c>
      <c r="M39" s="191">
        <f t="shared" si="8"/>
        <v>132.07228753792609</v>
      </c>
      <c r="N39" s="110"/>
      <c r="O39" s="135"/>
      <c r="P39" s="135"/>
      <c r="Q39" s="135"/>
      <c r="R39" s="135"/>
      <c r="S39" s="135"/>
      <c r="W39" s="135"/>
      <c r="X39" s="135"/>
      <c r="Y39" s="135"/>
      <c r="Z39" s="140"/>
      <c r="AA39" s="173"/>
    </row>
    <row r="40" spans="1:27" x14ac:dyDescent="0.25">
      <c r="A40" s="140" t="s">
        <v>464</v>
      </c>
      <c r="B40" s="140">
        <v>0.91666666666666674</v>
      </c>
      <c r="C40" s="140">
        <v>1111</v>
      </c>
      <c r="D40" s="173">
        <v>9.3259903871472816E-2</v>
      </c>
      <c r="E40" s="173">
        <v>5.7922664327485052E-2</v>
      </c>
      <c r="F40" s="173">
        <v>0.12290871195559668</v>
      </c>
      <c r="G40" s="173">
        <v>0.82096771649776279</v>
      </c>
      <c r="H40" s="173">
        <v>5.1292947129310054E-2</v>
      </c>
      <c r="I40" s="173">
        <v>0.33831683383010058</v>
      </c>
      <c r="J40" s="173">
        <v>1</v>
      </c>
      <c r="K40" s="173">
        <v>122.99999999999999</v>
      </c>
      <c r="L40" s="193">
        <f t="shared" si="7"/>
        <v>0.15118256819895787</v>
      </c>
      <c r="M40" s="191">
        <f t="shared" si="8"/>
        <v>136.07791917097916</v>
      </c>
      <c r="N40" s="110"/>
      <c r="Z40" s="140"/>
      <c r="AA40" s="173"/>
    </row>
    <row r="41" spans="1:27" x14ac:dyDescent="0.25">
      <c r="A41" s="140" t="s">
        <v>427</v>
      </c>
      <c r="B41" s="140">
        <v>1</v>
      </c>
      <c r="C41" s="140">
        <v>1111</v>
      </c>
      <c r="D41" s="173">
        <v>9.5434549279508535E-2</v>
      </c>
      <c r="E41" s="173">
        <v>5.9473891327579388E-2</v>
      </c>
      <c r="F41" s="173">
        <v>0.12618432778025584</v>
      </c>
      <c r="G41" s="173">
        <v>0.82992342603506331</v>
      </c>
      <c r="H41" s="173">
        <v>5.2489002103729698E-2</v>
      </c>
      <c r="I41" s="173">
        <v>0.39667601638672756</v>
      </c>
      <c r="J41" s="173">
        <v>1</v>
      </c>
      <c r="K41" s="173">
        <v>123</v>
      </c>
      <c r="L41" s="193">
        <f t="shared" si="7"/>
        <v>0.15490844060708792</v>
      </c>
      <c r="M41" s="191">
        <f t="shared" si="8"/>
        <v>139.43153970034916</v>
      </c>
      <c r="N41" s="110">
        <f>+M41-M29</f>
        <v>121.42973952033117</v>
      </c>
      <c r="Z41" s="140"/>
      <c r="AA41" s="173"/>
    </row>
    <row r="42" spans="1:27" x14ac:dyDescent="0.25">
      <c r="A42" s="140"/>
      <c r="B42" s="140"/>
      <c r="C42" s="140"/>
      <c r="D42" s="173"/>
      <c r="E42" s="173"/>
      <c r="F42" s="173"/>
      <c r="G42" s="173"/>
      <c r="H42" s="173"/>
      <c r="I42" s="173"/>
      <c r="J42" s="173"/>
      <c r="K42" s="173"/>
      <c r="L42" s="173"/>
      <c r="M42" s="174"/>
      <c r="N42" s="110"/>
      <c r="Z42" s="140"/>
      <c r="AA42" s="173"/>
    </row>
    <row r="43" spans="1:27" x14ac:dyDescent="0.25">
      <c r="A43" s="140"/>
      <c r="B43" s="140"/>
      <c r="C43" s="140"/>
      <c r="D43" s="173"/>
      <c r="E43" s="173"/>
      <c r="F43" s="173"/>
      <c r="G43" s="173"/>
      <c r="H43" s="173"/>
      <c r="I43" s="173"/>
      <c r="J43" s="173"/>
      <c r="K43" s="173"/>
      <c r="L43" s="173"/>
      <c r="M43" s="174"/>
      <c r="N43" s="110"/>
      <c r="Z43" s="140"/>
      <c r="AA43" s="173"/>
    </row>
    <row r="44" spans="1:27" x14ac:dyDescent="0.25">
      <c r="A44" s="140"/>
      <c r="B44" s="140"/>
      <c r="C44" s="140"/>
      <c r="D44" s="173"/>
      <c r="E44" s="173"/>
      <c r="F44" s="173"/>
      <c r="G44" s="173"/>
      <c r="H44" s="173"/>
      <c r="I44" s="173"/>
      <c r="J44" s="173"/>
      <c r="K44" s="173"/>
      <c r="L44" s="173"/>
      <c r="M44" s="174"/>
      <c r="N44" s="110"/>
      <c r="Z44" s="140"/>
      <c r="AA44" s="173"/>
    </row>
    <row r="45" spans="1:27" x14ac:dyDescent="0.25">
      <c r="A45" s="140"/>
      <c r="B45" s="140"/>
      <c r="C45" s="140"/>
      <c r="D45" s="173"/>
      <c r="E45" s="173"/>
      <c r="F45" s="173"/>
      <c r="G45" s="173"/>
      <c r="H45" s="173"/>
      <c r="I45" s="173"/>
      <c r="J45" s="173"/>
      <c r="K45" s="173"/>
      <c r="L45" s="173"/>
      <c r="M45" s="174"/>
      <c r="N45" s="110"/>
      <c r="Z45" s="140"/>
      <c r="AA45" s="173"/>
    </row>
    <row r="46" spans="1:27" x14ac:dyDescent="0.25">
      <c r="A46" s="140"/>
      <c r="B46" s="140"/>
      <c r="C46" s="140"/>
      <c r="D46" s="173"/>
      <c r="E46" s="173"/>
      <c r="F46" s="173"/>
      <c r="G46" s="173"/>
      <c r="H46" s="173"/>
      <c r="I46" s="173"/>
      <c r="J46" s="173"/>
      <c r="K46" s="173"/>
      <c r="L46" s="173"/>
      <c r="M46" s="174"/>
      <c r="N46" s="110"/>
      <c r="Z46" s="140"/>
      <c r="AA46" s="173"/>
    </row>
    <row r="47" spans="1:27" x14ac:dyDescent="0.25">
      <c r="A47" s="140"/>
      <c r="B47" s="140"/>
      <c r="C47" s="140"/>
      <c r="D47" s="173"/>
      <c r="E47" s="173"/>
      <c r="F47" s="173"/>
      <c r="G47" s="173"/>
      <c r="H47" s="173"/>
      <c r="I47" s="173"/>
      <c r="J47" s="173"/>
      <c r="K47" s="173"/>
      <c r="L47" s="173"/>
      <c r="M47" s="174"/>
      <c r="N47" s="110"/>
      <c r="Z47" s="140"/>
      <c r="AA47" s="173"/>
    </row>
    <row r="48" spans="1:27" x14ac:dyDescent="0.25">
      <c r="A48" s="140"/>
      <c r="B48" s="140"/>
      <c r="C48" s="140"/>
      <c r="D48" s="173"/>
      <c r="E48" s="173"/>
      <c r="F48" s="173"/>
      <c r="G48" s="173"/>
      <c r="H48" s="173"/>
      <c r="I48" s="173"/>
      <c r="J48" s="173"/>
      <c r="K48" s="173"/>
      <c r="L48" s="173"/>
      <c r="M48" s="174"/>
      <c r="N48" s="110"/>
      <c r="Z48" s="140"/>
      <c r="AA48" s="173"/>
    </row>
    <row r="49" spans="1:27" x14ac:dyDescent="0.25">
      <c r="A49" s="140"/>
      <c r="B49" s="140"/>
      <c r="C49" s="140"/>
      <c r="D49" s="173"/>
      <c r="E49" s="173"/>
      <c r="F49" s="173"/>
      <c r="G49" s="173"/>
      <c r="H49" s="173"/>
      <c r="I49" s="173"/>
      <c r="J49" s="173"/>
      <c r="K49" s="173"/>
      <c r="L49" s="173"/>
      <c r="M49" s="174"/>
      <c r="N49" s="110"/>
      <c r="Z49" s="140"/>
      <c r="AA49" s="173"/>
    </row>
    <row r="50" spans="1:27" x14ac:dyDescent="0.25">
      <c r="A50" s="140"/>
      <c r="B50" s="140"/>
      <c r="C50" s="140"/>
      <c r="D50" s="173"/>
      <c r="E50" s="173"/>
      <c r="F50" s="173"/>
      <c r="G50" s="173"/>
      <c r="H50" s="173"/>
      <c r="I50" s="173"/>
      <c r="J50" s="173"/>
      <c r="K50" s="173"/>
      <c r="L50" s="173"/>
      <c r="M50" s="174"/>
      <c r="N50" s="110"/>
      <c r="Z50" s="140"/>
      <c r="AA50" s="173"/>
    </row>
    <row r="51" spans="1:27" x14ac:dyDescent="0.25">
      <c r="A51" s="140"/>
      <c r="B51" s="140"/>
      <c r="C51" s="140"/>
      <c r="D51" s="173"/>
      <c r="E51" s="173"/>
      <c r="F51" s="173"/>
      <c r="G51" s="173"/>
      <c r="H51" s="173"/>
      <c r="I51" s="173"/>
      <c r="J51" s="173"/>
      <c r="K51" s="173"/>
      <c r="L51" s="173"/>
      <c r="M51" s="174"/>
      <c r="N51" s="110"/>
      <c r="Z51" s="140"/>
      <c r="AA51" s="173"/>
    </row>
    <row r="52" spans="1:27" x14ac:dyDescent="0.25">
      <c r="A52" s="140"/>
      <c r="B52" s="140"/>
      <c r="C52" s="140"/>
      <c r="D52" s="173"/>
      <c r="E52" s="173"/>
      <c r="F52" s="173"/>
      <c r="G52" s="173"/>
      <c r="H52" s="173"/>
      <c r="I52" s="173"/>
      <c r="J52" s="173"/>
      <c r="K52" s="173"/>
      <c r="L52" s="173"/>
      <c r="M52" s="174"/>
      <c r="N52" s="110"/>
      <c r="Z52" s="140"/>
      <c r="AA52" s="173"/>
    </row>
    <row r="53" spans="1:27" x14ac:dyDescent="0.25">
      <c r="A53" s="140"/>
      <c r="B53" s="140"/>
      <c r="C53" s="140"/>
      <c r="D53" s="173"/>
      <c r="E53" s="173"/>
      <c r="F53" s="173"/>
      <c r="G53" s="173"/>
      <c r="H53" s="173"/>
      <c r="I53" s="173"/>
      <c r="J53" s="173"/>
      <c r="K53" s="173"/>
      <c r="L53" s="173"/>
      <c r="M53" s="174"/>
      <c r="N53" s="110"/>
      <c r="Z53" s="140"/>
      <c r="AA53" s="173"/>
    </row>
    <row r="54" spans="1:27" x14ac:dyDescent="0.25">
      <c r="A54" s="140"/>
      <c r="B54" s="140"/>
      <c r="C54" s="140"/>
      <c r="D54" s="173"/>
      <c r="E54" s="173"/>
      <c r="F54" s="173"/>
      <c r="G54" s="173"/>
      <c r="H54" s="173"/>
      <c r="I54" s="173"/>
      <c r="J54" s="173"/>
      <c r="K54" s="173"/>
      <c r="L54" s="173"/>
      <c r="M54" s="174"/>
      <c r="N54" s="110"/>
      <c r="Z54" s="140"/>
      <c r="AA54" s="173"/>
    </row>
    <row r="55" spans="1:27" x14ac:dyDescent="0.25">
      <c r="A55" s="140"/>
      <c r="B55" s="140"/>
      <c r="C55" s="140"/>
      <c r="D55" s="173"/>
      <c r="E55" s="173"/>
      <c r="F55" s="173"/>
      <c r="G55" s="173"/>
      <c r="H55" s="173"/>
      <c r="I55" s="173"/>
      <c r="J55" s="173"/>
      <c r="K55" s="173"/>
      <c r="L55" s="173"/>
      <c r="M55" s="174"/>
      <c r="N55" s="110"/>
      <c r="Z55" s="140"/>
      <c r="AA55" s="173"/>
    </row>
    <row r="56" spans="1:27" x14ac:dyDescent="0.25">
      <c r="A56" s="140"/>
      <c r="B56" s="140"/>
      <c r="C56" s="140"/>
      <c r="D56" s="173"/>
      <c r="E56" s="173"/>
      <c r="F56" s="173"/>
      <c r="G56" s="173"/>
      <c r="H56" s="173"/>
      <c r="I56" s="173"/>
      <c r="J56" s="173"/>
      <c r="K56" s="173"/>
      <c r="L56" s="173"/>
      <c r="M56" s="174"/>
      <c r="N56" s="110"/>
      <c r="Z56" s="140"/>
      <c r="AA56" s="173"/>
    </row>
    <row r="57" spans="1:27" x14ac:dyDescent="0.25">
      <c r="A57" s="140"/>
      <c r="B57" s="140"/>
      <c r="C57" s="140"/>
      <c r="D57" s="173"/>
      <c r="E57" s="173"/>
      <c r="F57" s="173"/>
      <c r="G57" s="173"/>
      <c r="H57" s="173"/>
      <c r="I57" s="173"/>
      <c r="J57" s="173"/>
      <c r="K57" s="173"/>
      <c r="L57" s="173"/>
      <c r="M57" s="174"/>
      <c r="N57" s="110"/>
      <c r="Z57" s="140"/>
      <c r="AA57" s="173"/>
    </row>
    <row r="58" spans="1:27" x14ac:dyDescent="0.25">
      <c r="A58" s="140"/>
      <c r="B58" s="140"/>
      <c r="C58" s="140"/>
      <c r="D58" s="173"/>
      <c r="E58" s="173"/>
      <c r="F58" s="173"/>
      <c r="G58" s="173"/>
      <c r="H58" s="173"/>
      <c r="I58" s="173"/>
      <c r="J58" s="173"/>
      <c r="K58" s="173"/>
      <c r="L58" s="173"/>
      <c r="M58" s="174"/>
      <c r="N58" s="110"/>
      <c r="Z58" s="140"/>
      <c r="AA58" s="173"/>
    </row>
    <row r="59" spans="1:27" x14ac:dyDescent="0.25">
      <c r="A59" s="140"/>
      <c r="B59" s="140"/>
      <c r="C59" s="140"/>
      <c r="D59" s="173"/>
      <c r="E59" s="173"/>
      <c r="F59" s="173"/>
      <c r="G59" s="173"/>
      <c r="H59" s="173"/>
      <c r="I59" s="173"/>
      <c r="J59" s="173"/>
      <c r="K59" s="173"/>
      <c r="L59" s="173"/>
      <c r="M59" s="174"/>
      <c r="N59" s="110"/>
      <c r="Z59" s="140"/>
      <c r="AA59" s="173"/>
    </row>
    <row r="60" spans="1:27" x14ac:dyDescent="0.25">
      <c r="A60" s="140"/>
      <c r="B60" s="140"/>
      <c r="C60" s="140"/>
      <c r="D60" s="173"/>
      <c r="E60" s="173"/>
      <c r="F60" s="173"/>
      <c r="G60" s="173"/>
      <c r="H60" s="173"/>
      <c r="I60" s="173"/>
      <c r="J60" s="173"/>
      <c r="K60" s="173"/>
      <c r="L60" s="173"/>
      <c r="M60" s="174"/>
      <c r="N60" s="110"/>
      <c r="Z60" s="140"/>
      <c r="AA60" s="173"/>
    </row>
    <row r="61" spans="1:27" x14ac:dyDescent="0.25">
      <c r="A61" s="140"/>
      <c r="B61" s="140"/>
      <c r="C61" s="140"/>
      <c r="D61" s="173"/>
      <c r="E61" s="173"/>
      <c r="F61" s="173"/>
      <c r="G61" s="173"/>
      <c r="H61" s="173"/>
      <c r="I61" s="173"/>
      <c r="J61" s="173"/>
      <c r="K61" s="173"/>
      <c r="L61" s="173"/>
      <c r="M61" s="174"/>
      <c r="N61" s="110"/>
      <c r="Z61" s="140"/>
      <c r="AA61" s="173"/>
    </row>
    <row r="62" spans="1:27" x14ac:dyDescent="0.25">
      <c r="A62" s="140"/>
      <c r="B62" s="140"/>
      <c r="C62" s="140"/>
      <c r="D62" s="173"/>
      <c r="E62" s="173"/>
      <c r="F62" s="173"/>
      <c r="G62" s="173"/>
      <c r="H62" s="173"/>
      <c r="I62" s="173"/>
      <c r="J62" s="173"/>
      <c r="K62" s="173"/>
      <c r="L62" s="173"/>
      <c r="M62" s="174"/>
      <c r="N62" s="110"/>
    </row>
    <row r="63" spans="1:27" x14ac:dyDescent="0.25">
      <c r="A63" s="140"/>
      <c r="B63" s="140"/>
      <c r="C63" s="140"/>
      <c r="D63" s="173"/>
      <c r="E63" s="173"/>
      <c r="F63" s="173"/>
      <c r="G63" s="173"/>
      <c r="H63" s="173"/>
      <c r="I63" s="173"/>
      <c r="J63" s="173"/>
      <c r="K63" s="173"/>
      <c r="L63" s="173"/>
      <c r="M63" s="174"/>
      <c r="N63" s="110"/>
    </row>
    <row r="64" spans="1:27" x14ac:dyDescent="0.25">
      <c r="A64" s="140"/>
      <c r="B64" s="140"/>
      <c r="C64" s="140"/>
      <c r="D64" s="173"/>
      <c r="E64" s="173"/>
      <c r="F64" s="173"/>
      <c r="G64" s="173"/>
      <c r="H64" s="173"/>
      <c r="I64" s="173"/>
      <c r="J64" s="173"/>
      <c r="K64" s="173"/>
      <c r="L64" s="173"/>
      <c r="M64" s="174"/>
    </row>
    <row r="65" spans="1:13" x14ac:dyDescent="0.25">
      <c r="A65" s="140"/>
      <c r="B65" s="140"/>
      <c r="C65" s="140"/>
      <c r="D65" s="173"/>
      <c r="E65" s="173"/>
      <c r="F65" s="173"/>
      <c r="G65" s="173"/>
      <c r="H65" s="173"/>
      <c r="I65" s="173"/>
      <c r="J65" s="173"/>
      <c r="K65" s="173"/>
      <c r="L65" s="173"/>
      <c r="M65" s="174"/>
    </row>
    <row r="66" spans="1:13" x14ac:dyDescent="0.25">
      <c r="A66" s="140"/>
      <c r="B66" s="140"/>
      <c r="C66" s="140"/>
      <c r="D66" s="173"/>
      <c r="E66" s="173"/>
      <c r="F66" s="173"/>
      <c r="G66" s="173"/>
      <c r="H66" s="173"/>
      <c r="I66" s="173"/>
      <c r="J66" s="173"/>
      <c r="K66" s="173"/>
      <c r="L66" s="173"/>
      <c r="M66" s="174"/>
    </row>
    <row r="67" spans="1:13" x14ac:dyDescent="0.25">
      <c r="A67" s="140"/>
      <c r="B67" s="140"/>
      <c r="C67" s="140"/>
      <c r="D67" s="173"/>
      <c r="E67" s="173"/>
      <c r="F67" s="173"/>
      <c r="G67" s="173"/>
      <c r="H67" s="173"/>
      <c r="I67" s="173"/>
      <c r="J67" s="173"/>
      <c r="K67" s="173"/>
      <c r="L67" s="173"/>
      <c r="M67" s="174"/>
    </row>
    <row r="68" spans="1:13" x14ac:dyDescent="0.25">
      <c r="A68" s="140"/>
      <c r="B68" s="140"/>
      <c r="C68" s="140"/>
      <c r="D68" s="173"/>
      <c r="E68" s="173"/>
      <c r="F68" s="173"/>
      <c r="G68" s="173"/>
      <c r="H68" s="173"/>
      <c r="I68" s="173"/>
      <c r="J68" s="173"/>
      <c r="K68" s="173"/>
      <c r="L68" s="173"/>
      <c r="M68" s="174"/>
    </row>
    <row r="69" spans="1:13" x14ac:dyDescent="0.25">
      <c r="A69" s="140"/>
      <c r="B69" s="140"/>
      <c r="C69" s="140"/>
      <c r="D69" s="173"/>
      <c r="E69" s="173"/>
      <c r="F69" s="173"/>
      <c r="G69" s="173"/>
      <c r="H69" s="173"/>
      <c r="I69" s="173"/>
      <c r="J69" s="173"/>
      <c r="K69" s="173"/>
      <c r="L69" s="173"/>
      <c r="M69" s="174"/>
    </row>
    <row r="70" spans="1:13" x14ac:dyDescent="0.25">
      <c r="A70" s="140"/>
      <c r="B70" s="140"/>
      <c r="C70" s="140"/>
      <c r="D70" s="173"/>
      <c r="E70" s="173"/>
      <c r="F70" s="173"/>
      <c r="G70" s="173"/>
      <c r="H70" s="173"/>
      <c r="I70" s="173"/>
      <c r="J70" s="173"/>
      <c r="K70" s="173"/>
      <c r="L70" s="173"/>
      <c r="M70" s="174"/>
    </row>
    <row r="71" spans="1:13" x14ac:dyDescent="0.25">
      <c r="A71" s="140"/>
      <c r="B71" s="140"/>
      <c r="C71" s="140"/>
      <c r="D71" s="173"/>
      <c r="E71" s="173"/>
      <c r="F71" s="173"/>
      <c r="G71" s="173"/>
      <c r="H71" s="173"/>
      <c r="I71" s="173"/>
      <c r="J71" s="173"/>
      <c r="K71" s="173"/>
      <c r="L71" s="173"/>
      <c r="M71" s="174"/>
    </row>
    <row r="72" spans="1:13" x14ac:dyDescent="0.25">
      <c r="A72" s="140"/>
      <c r="B72" s="140"/>
      <c r="C72" s="140"/>
      <c r="D72" s="173"/>
      <c r="E72" s="173"/>
      <c r="F72" s="173"/>
      <c r="G72" s="173"/>
      <c r="H72" s="173"/>
      <c r="I72" s="173"/>
      <c r="J72" s="173"/>
      <c r="K72" s="173"/>
      <c r="L72" s="173"/>
      <c r="M72" s="174"/>
    </row>
    <row r="73" spans="1:13" x14ac:dyDescent="0.25">
      <c r="A73" s="140"/>
      <c r="B73" s="140"/>
      <c r="C73" s="140"/>
      <c r="D73" s="173"/>
      <c r="E73" s="173"/>
      <c r="F73" s="173"/>
      <c r="G73" s="173"/>
      <c r="H73" s="173"/>
      <c r="I73" s="173"/>
      <c r="J73" s="173"/>
      <c r="K73" s="173"/>
      <c r="L73" s="173"/>
      <c r="M73" s="174"/>
    </row>
    <row r="74" spans="1:13" x14ac:dyDescent="0.25">
      <c r="A74" s="140"/>
      <c r="B74" s="140"/>
      <c r="C74" s="140"/>
      <c r="D74" s="173"/>
      <c r="E74" s="173"/>
      <c r="F74" s="173"/>
      <c r="G74" s="173"/>
      <c r="H74" s="173"/>
      <c r="I74" s="173"/>
      <c r="J74" s="173"/>
      <c r="K74" s="173"/>
      <c r="L74" s="173"/>
      <c r="M74" s="174"/>
    </row>
    <row r="75" spans="1:13" x14ac:dyDescent="0.25">
      <c r="A75" s="140"/>
      <c r="B75" s="140"/>
      <c r="C75" s="140"/>
      <c r="D75" s="173"/>
      <c r="E75" s="173"/>
      <c r="F75" s="173"/>
      <c r="G75" s="173"/>
      <c r="H75" s="173"/>
      <c r="I75" s="173"/>
      <c r="J75" s="173"/>
      <c r="K75" s="173"/>
      <c r="L75" s="173"/>
      <c r="M75" s="174"/>
    </row>
    <row r="76" spans="1:13" x14ac:dyDescent="0.25">
      <c r="A76" s="140"/>
      <c r="B76" s="140"/>
      <c r="C76" s="140"/>
      <c r="D76" s="173"/>
      <c r="E76" s="173"/>
      <c r="F76" s="173"/>
      <c r="G76" s="173"/>
      <c r="H76" s="173"/>
      <c r="I76" s="173"/>
      <c r="J76" s="173"/>
      <c r="K76" s="173"/>
      <c r="L76" s="173"/>
      <c r="M76" s="174"/>
    </row>
    <row r="77" spans="1:13" x14ac:dyDescent="0.25">
      <c r="A77" s="140"/>
      <c r="B77" s="140"/>
      <c r="C77" s="140"/>
      <c r="D77" s="173"/>
      <c r="E77" s="173"/>
      <c r="F77" s="173"/>
      <c r="G77" s="173"/>
      <c r="H77" s="173"/>
      <c r="I77" s="173"/>
      <c r="J77" s="173"/>
      <c r="K77" s="173"/>
      <c r="L77" s="173"/>
      <c r="M77" s="174"/>
    </row>
    <row r="78" spans="1:13" x14ac:dyDescent="0.25">
      <c r="A78" s="140"/>
      <c r="B78" s="140"/>
      <c r="C78" s="140"/>
      <c r="D78" s="173"/>
      <c r="E78" s="173"/>
      <c r="F78" s="173"/>
      <c r="G78" s="173"/>
      <c r="H78" s="173"/>
      <c r="I78" s="173"/>
      <c r="J78" s="173"/>
      <c r="K78" s="173"/>
      <c r="L78" s="173"/>
      <c r="M78" s="174"/>
    </row>
    <row r="79" spans="1:13" x14ac:dyDescent="0.25">
      <c r="A79" s="140"/>
      <c r="B79" s="140"/>
      <c r="C79" s="140"/>
      <c r="D79" s="173"/>
      <c r="E79" s="173"/>
      <c r="F79" s="173"/>
      <c r="G79" s="173"/>
      <c r="H79" s="173"/>
      <c r="I79" s="173"/>
      <c r="J79" s="173"/>
      <c r="K79" s="173"/>
      <c r="L79" s="173"/>
      <c r="M79" s="174"/>
    </row>
    <row r="80" spans="1:13" x14ac:dyDescent="0.25">
      <c r="A80" s="140"/>
      <c r="B80" s="140"/>
      <c r="C80" s="140"/>
      <c r="D80" s="173"/>
      <c r="E80" s="173"/>
      <c r="F80" s="173"/>
      <c r="G80" s="173"/>
      <c r="H80" s="173"/>
      <c r="I80" s="173"/>
      <c r="J80" s="173"/>
    </row>
    <row r="81" spans="1:10" x14ac:dyDescent="0.25">
      <c r="A81" s="140"/>
      <c r="B81" s="140"/>
      <c r="C81" s="140"/>
      <c r="D81" s="173"/>
      <c r="E81" s="173"/>
      <c r="F81" s="173"/>
      <c r="G81" s="173"/>
      <c r="H81" s="173"/>
      <c r="I81" s="173"/>
      <c r="J81" s="173"/>
    </row>
    <row r="82" spans="1:10" x14ac:dyDescent="0.25">
      <c r="A82" s="140"/>
      <c r="B82" s="140"/>
      <c r="C82" s="140"/>
      <c r="D82" s="173"/>
      <c r="E82" s="173"/>
      <c r="F82" s="173"/>
      <c r="G82" s="173"/>
      <c r="H82" s="173"/>
      <c r="I82" s="173"/>
      <c r="J82" s="173"/>
    </row>
    <row r="83" spans="1:10" x14ac:dyDescent="0.25">
      <c r="A83" s="140"/>
      <c r="B83" s="140"/>
      <c r="C83" s="140"/>
      <c r="D83" s="173"/>
      <c r="E83" s="173"/>
      <c r="F83" s="173"/>
      <c r="G83" s="173"/>
      <c r="H83" s="173"/>
      <c r="I83" s="173"/>
      <c r="J83" s="173"/>
    </row>
    <row r="84" spans="1:10" x14ac:dyDescent="0.25">
      <c r="A84" s="140"/>
      <c r="B84" s="140"/>
      <c r="C84" s="140"/>
      <c r="D84" s="173"/>
      <c r="E84" s="173"/>
      <c r="F84" s="173"/>
      <c r="G84" s="173"/>
      <c r="H84" s="173"/>
      <c r="I84" s="173"/>
      <c r="J84" s="173"/>
    </row>
    <row r="85" spans="1:10" x14ac:dyDescent="0.25">
      <c r="A85" s="140"/>
      <c r="B85" s="140"/>
      <c r="C85" s="140"/>
      <c r="D85" s="173"/>
      <c r="E85" s="173"/>
      <c r="F85" s="173"/>
      <c r="G85" s="173"/>
      <c r="H85" s="173"/>
      <c r="I85" s="173"/>
      <c r="J85" s="173"/>
    </row>
    <row r="86" spans="1:10" x14ac:dyDescent="0.25">
      <c r="A86" s="140"/>
      <c r="B86" s="140"/>
      <c r="C86" s="140"/>
      <c r="D86" s="173"/>
      <c r="E86" s="173"/>
      <c r="F86" s="173"/>
      <c r="G86" s="173"/>
      <c r="H86" s="173"/>
      <c r="I86" s="173"/>
      <c r="J86" s="173"/>
    </row>
    <row r="87" spans="1:10" x14ac:dyDescent="0.25">
      <c r="A87" s="140"/>
      <c r="B87" s="140"/>
      <c r="C87" s="140"/>
      <c r="D87" s="173"/>
      <c r="E87" s="173"/>
      <c r="F87" s="173"/>
      <c r="G87" s="173"/>
      <c r="H87" s="173"/>
      <c r="I87" s="173"/>
      <c r="J87" s="173"/>
    </row>
    <row r="88" spans="1:10" x14ac:dyDescent="0.25">
      <c r="A88" s="140"/>
      <c r="B88" s="140"/>
      <c r="C88" s="140"/>
      <c r="D88" s="173"/>
      <c r="E88" s="173"/>
      <c r="F88" s="173"/>
      <c r="G88" s="173"/>
      <c r="H88" s="173"/>
      <c r="I88" s="173"/>
      <c r="J88" s="173"/>
    </row>
    <row r="89" spans="1:10" x14ac:dyDescent="0.25">
      <c r="A89" s="140"/>
      <c r="B89" s="140"/>
      <c r="C89" s="140"/>
      <c r="D89" s="173"/>
      <c r="E89" s="173"/>
      <c r="F89" s="173"/>
      <c r="G89" s="173"/>
      <c r="H89" s="173"/>
      <c r="I89" s="173"/>
      <c r="J89" s="173"/>
    </row>
    <row r="90" spans="1:10" x14ac:dyDescent="0.25">
      <c r="A90" s="140"/>
      <c r="B90" s="140"/>
      <c r="C90" s="140"/>
      <c r="D90" s="173"/>
      <c r="E90" s="173"/>
      <c r="F90" s="173"/>
      <c r="G90" s="173"/>
      <c r="H90" s="173"/>
      <c r="I90" s="173"/>
      <c r="J90" s="173"/>
    </row>
    <row r="91" spans="1:10" x14ac:dyDescent="0.25">
      <c r="A91" s="140"/>
      <c r="B91" s="140"/>
      <c r="C91" s="140"/>
      <c r="D91" s="173"/>
      <c r="E91" s="173"/>
      <c r="F91" s="173"/>
      <c r="G91" s="173"/>
      <c r="H91" s="173"/>
      <c r="I91" s="173"/>
      <c r="J91" s="173"/>
    </row>
    <row r="92" spans="1:10" x14ac:dyDescent="0.25">
      <c r="A92" s="140"/>
      <c r="B92" s="140"/>
      <c r="C92" s="140"/>
      <c r="D92" s="173"/>
      <c r="E92" s="173"/>
      <c r="F92" s="173"/>
      <c r="G92" s="173"/>
      <c r="H92" s="173"/>
      <c r="I92" s="173"/>
      <c r="J92" s="173"/>
    </row>
    <row r="93" spans="1:10" x14ac:dyDescent="0.25">
      <c r="A93" s="140"/>
      <c r="B93" s="140"/>
      <c r="C93" s="140"/>
      <c r="D93" s="173"/>
      <c r="E93" s="173"/>
      <c r="F93" s="173"/>
      <c r="G93" s="173"/>
      <c r="H93" s="173"/>
      <c r="I93" s="173"/>
      <c r="J93" s="173"/>
    </row>
    <row r="94" spans="1:10" x14ac:dyDescent="0.25">
      <c r="A94" s="140"/>
      <c r="B94" s="140"/>
      <c r="C94" s="140"/>
      <c r="D94" s="173"/>
      <c r="E94" s="173"/>
      <c r="F94" s="173"/>
      <c r="G94" s="173"/>
      <c r="H94" s="173"/>
      <c r="I94" s="173"/>
      <c r="J94" s="173"/>
    </row>
    <row r="95" spans="1:10" x14ac:dyDescent="0.25">
      <c r="A95" s="140"/>
      <c r="B95" s="140"/>
      <c r="C95" s="140"/>
      <c r="D95" s="173"/>
      <c r="E95" s="173"/>
      <c r="F95" s="173"/>
      <c r="G95" s="173"/>
      <c r="H95" s="173"/>
      <c r="I95" s="173"/>
      <c r="J95" s="173"/>
    </row>
    <row r="96" spans="1:10" x14ac:dyDescent="0.25">
      <c r="A96" s="140"/>
      <c r="B96" s="140"/>
      <c r="C96" s="140"/>
      <c r="D96" s="173"/>
      <c r="E96" s="173"/>
      <c r="F96" s="173"/>
      <c r="G96" s="173"/>
      <c r="H96" s="173"/>
      <c r="I96" s="173"/>
      <c r="J96" s="173"/>
    </row>
    <row r="97" spans="1:10" x14ac:dyDescent="0.25">
      <c r="A97" s="140"/>
      <c r="B97" s="140"/>
      <c r="C97" s="140"/>
      <c r="D97" s="173"/>
      <c r="E97" s="173"/>
      <c r="F97" s="173"/>
      <c r="G97" s="173"/>
      <c r="H97" s="173"/>
      <c r="I97" s="173"/>
      <c r="J97" s="173"/>
    </row>
    <row r="98" spans="1:10" x14ac:dyDescent="0.25">
      <c r="A98" s="140"/>
      <c r="B98" s="140"/>
      <c r="C98" s="140"/>
      <c r="D98" s="173"/>
      <c r="E98" s="173"/>
      <c r="F98" s="173"/>
      <c r="G98" s="173"/>
      <c r="H98" s="173"/>
      <c r="I98" s="173"/>
      <c r="J98" s="173"/>
    </row>
    <row r="99" spans="1:10" x14ac:dyDescent="0.25">
      <c r="A99" s="140"/>
      <c r="B99" s="140"/>
      <c r="C99" s="140"/>
      <c r="D99" s="173"/>
      <c r="E99" s="173"/>
      <c r="F99" s="173"/>
      <c r="G99" s="173"/>
      <c r="H99" s="173"/>
      <c r="I99" s="173"/>
      <c r="J99" s="173"/>
    </row>
    <row r="100" spans="1:10" x14ac:dyDescent="0.25">
      <c r="A100" s="140"/>
      <c r="B100" s="140"/>
      <c r="C100" s="140"/>
      <c r="D100" s="173"/>
      <c r="E100" s="173"/>
      <c r="F100" s="173"/>
      <c r="G100" s="173"/>
      <c r="H100" s="173"/>
      <c r="I100" s="173"/>
      <c r="J100" s="173"/>
    </row>
    <row r="101" spans="1:10" x14ac:dyDescent="0.25">
      <c r="A101" s="140"/>
      <c r="B101" s="140"/>
      <c r="C101" s="140"/>
      <c r="D101" s="173"/>
      <c r="E101" s="173"/>
      <c r="F101" s="173"/>
      <c r="G101" s="173"/>
      <c r="H101" s="173"/>
      <c r="I101" s="173"/>
      <c r="J101" s="173"/>
    </row>
    <row r="102" spans="1:10" x14ac:dyDescent="0.25">
      <c r="A102" s="140"/>
      <c r="B102" s="140"/>
      <c r="C102" s="140"/>
      <c r="D102" s="173"/>
      <c r="E102" s="173"/>
      <c r="F102" s="173"/>
      <c r="G102" s="173"/>
      <c r="H102" s="173"/>
      <c r="I102" s="173"/>
      <c r="J102" s="173"/>
    </row>
    <row r="103" spans="1:10" x14ac:dyDescent="0.25">
      <c r="A103" s="140"/>
      <c r="B103" s="140"/>
      <c r="C103" s="140"/>
      <c r="D103" s="173"/>
      <c r="E103" s="173"/>
      <c r="F103" s="173"/>
      <c r="G103" s="173"/>
      <c r="H103" s="173"/>
      <c r="I103" s="173"/>
      <c r="J103" s="173"/>
    </row>
    <row r="104" spans="1:10" x14ac:dyDescent="0.25">
      <c r="A104" s="140"/>
      <c r="B104" s="140"/>
      <c r="C104" s="140"/>
      <c r="D104" s="173"/>
      <c r="E104" s="173"/>
      <c r="F104" s="173"/>
      <c r="G104" s="173"/>
      <c r="H104" s="173"/>
      <c r="I104" s="173"/>
      <c r="J104" s="173"/>
    </row>
    <row r="105" spans="1:10" x14ac:dyDescent="0.25">
      <c r="A105" s="140"/>
      <c r="B105" s="140"/>
      <c r="C105" s="140"/>
      <c r="D105" s="173"/>
      <c r="E105" s="173"/>
      <c r="F105" s="173"/>
      <c r="G105" s="173"/>
      <c r="H105" s="173"/>
      <c r="I105" s="173"/>
      <c r="J105" s="173"/>
    </row>
    <row r="106" spans="1:10" x14ac:dyDescent="0.25">
      <c r="A106" s="140"/>
      <c r="B106" s="140"/>
      <c r="C106" s="140"/>
      <c r="D106" s="173"/>
      <c r="E106" s="173"/>
      <c r="F106" s="173"/>
      <c r="G106" s="173"/>
      <c r="H106" s="173"/>
      <c r="I106" s="173"/>
      <c r="J106" s="173"/>
    </row>
    <row r="107" spans="1:10" x14ac:dyDescent="0.25">
      <c r="A107" s="140"/>
      <c r="B107" s="140"/>
      <c r="C107" s="140"/>
      <c r="D107" s="173"/>
      <c r="E107" s="173"/>
      <c r="F107" s="173"/>
      <c r="G107" s="173"/>
      <c r="H107" s="173"/>
      <c r="I107" s="173"/>
      <c r="J107" s="173"/>
    </row>
    <row r="108" spans="1:10" x14ac:dyDescent="0.25">
      <c r="A108" s="140"/>
      <c r="B108" s="140"/>
      <c r="C108" s="140"/>
      <c r="D108" s="173"/>
      <c r="E108" s="173"/>
      <c r="F108" s="173"/>
      <c r="G108" s="173"/>
      <c r="H108" s="173"/>
      <c r="I108" s="173"/>
      <c r="J108" s="173"/>
    </row>
    <row r="109" spans="1:10" x14ac:dyDescent="0.25">
      <c r="A109" s="140"/>
      <c r="B109" s="140"/>
      <c r="C109" s="140"/>
      <c r="D109" s="173"/>
      <c r="E109" s="173"/>
      <c r="F109" s="173"/>
      <c r="G109" s="173"/>
      <c r="H109" s="173"/>
      <c r="I109" s="173"/>
      <c r="J109" s="173"/>
    </row>
    <row r="110" spans="1:10" x14ac:dyDescent="0.25">
      <c r="A110" s="140"/>
      <c r="B110" s="140"/>
      <c r="C110" s="140"/>
      <c r="D110" s="173"/>
      <c r="E110" s="173"/>
      <c r="F110" s="173"/>
      <c r="G110" s="173"/>
      <c r="H110" s="173"/>
      <c r="I110" s="173"/>
      <c r="J110" s="173"/>
    </row>
    <row r="111" spans="1:10" x14ac:dyDescent="0.25">
      <c r="A111" s="140"/>
      <c r="B111" s="140"/>
      <c r="C111" s="140"/>
      <c r="D111" s="173"/>
      <c r="E111" s="173"/>
      <c r="F111" s="173"/>
      <c r="G111" s="173"/>
      <c r="H111" s="173"/>
      <c r="I111" s="173"/>
      <c r="J111" s="173"/>
    </row>
    <row r="112" spans="1:10" x14ac:dyDescent="0.25">
      <c r="A112" s="140"/>
      <c r="B112" s="140"/>
      <c r="C112" s="140"/>
      <c r="D112" s="173"/>
      <c r="E112" s="173"/>
      <c r="F112" s="173"/>
      <c r="G112" s="173"/>
      <c r="H112" s="173"/>
      <c r="I112" s="173"/>
      <c r="J112" s="173"/>
    </row>
    <row r="113" spans="1:10" x14ac:dyDescent="0.25">
      <c r="A113" s="140"/>
      <c r="B113" s="140"/>
      <c r="C113" s="140"/>
      <c r="D113" s="173"/>
      <c r="E113" s="173"/>
      <c r="F113" s="173"/>
      <c r="G113" s="173"/>
      <c r="H113" s="173"/>
      <c r="I113" s="173"/>
      <c r="J113" s="173"/>
    </row>
    <row r="114" spans="1:10" x14ac:dyDescent="0.25">
      <c r="A114" s="140"/>
      <c r="B114" s="140"/>
      <c r="C114" s="140"/>
      <c r="D114" s="173"/>
      <c r="E114" s="173"/>
      <c r="F114" s="173"/>
      <c r="G114" s="173"/>
      <c r="H114" s="173"/>
      <c r="I114" s="173"/>
      <c r="J114" s="173"/>
    </row>
    <row r="115" spans="1:10" x14ac:dyDescent="0.25">
      <c r="A115" s="140"/>
      <c r="B115" s="140"/>
      <c r="C115" s="140"/>
      <c r="D115" s="173"/>
      <c r="E115" s="173"/>
      <c r="F115" s="173"/>
      <c r="G115" s="173"/>
      <c r="H115" s="173"/>
      <c r="I115" s="173"/>
      <c r="J115" s="173"/>
    </row>
    <row r="116" spans="1:10" x14ac:dyDescent="0.25">
      <c r="A116" s="140"/>
      <c r="B116" s="140"/>
      <c r="C116" s="140"/>
      <c r="D116" s="173"/>
      <c r="E116" s="173"/>
      <c r="F116" s="173"/>
      <c r="G116" s="173"/>
      <c r="H116" s="173"/>
      <c r="I116" s="173"/>
      <c r="J116" s="173"/>
    </row>
    <row r="117" spans="1:10" x14ac:dyDescent="0.25">
      <c r="A117" s="140"/>
      <c r="B117" s="140"/>
      <c r="C117" s="140"/>
      <c r="D117" s="173"/>
      <c r="E117" s="173"/>
      <c r="F117" s="173"/>
      <c r="G117" s="173"/>
      <c r="H117" s="173"/>
      <c r="I117" s="173"/>
      <c r="J117" s="173"/>
    </row>
    <row r="118" spans="1:10" x14ac:dyDescent="0.25">
      <c r="A118" s="140"/>
      <c r="B118" s="140"/>
      <c r="C118" s="140"/>
      <c r="D118" s="173"/>
      <c r="E118" s="173"/>
      <c r="F118" s="173"/>
      <c r="G118" s="173"/>
      <c r="H118" s="173"/>
      <c r="I118" s="173"/>
      <c r="J118" s="173"/>
    </row>
    <row r="119" spans="1:10" x14ac:dyDescent="0.25">
      <c r="A119" s="140"/>
      <c r="B119" s="140"/>
      <c r="C119" s="140"/>
      <c r="D119" s="173"/>
      <c r="E119" s="173"/>
      <c r="F119" s="173"/>
      <c r="G119" s="173"/>
      <c r="H119" s="173"/>
      <c r="I119" s="173"/>
      <c r="J119" s="173"/>
    </row>
    <row r="120" spans="1:10" x14ac:dyDescent="0.25">
      <c r="A120" s="140"/>
      <c r="B120" s="140"/>
      <c r="C120" s="140"/>
      <c r="D120" s="173"/>
      <c r="E120" s="173"/>
      <c r="F120" s="173"/>
      <c r="G120" s="173"/>
      <c r="H120" s="173"/>
      <c r="I120" s="173"/>
      <c r="J120" s="173"/>
    </row>
    <row r="121" spans="1:10" x14ac:dyDescent="0.25">
      <c r="A121" s="140"/>
      <c r="B121" s="140"/>
      <c r="C121" s="140"/>
      <c r="D121" s="173"/>
      <c r="E121" s="173"/>
      <c r="F121" s="173"/>
      <c r="G121" s="173"/>
      <c r="H121" s="173"/>
      <c r="I121" s="173"/>
      <c r="J121" s="173"/>
    </row>
    <row r="122" spans="1:10" x14ac:dyDescent="0.25">
      <c r="A122" s="140"/>
      <c r="B122" s="140"/>
      <c r="C122" s="140"/>
      <c r="D122" s="173"/>
      <c r="E122" s="173"/>
      <c r="F122" s="173"/>
      <c r="G122" s="173"/>
      <c r="H122" s="173"/>
      <c r="I122" s="173"/>
      <c r="J122" s="173"/>
    </row>
    <row r="123" spans="1:10" x14ac:dyDescent="0.25">
      <c r="A123" s="140"/>
      <c r="B123" s="140"/>
      <c r="C123" s="140"/>
      <c r="D123" s="173"/>
      <c r="E123" s="173"/>
      <c r="F123" s="173"/>
      <c r="G123" s="173"/>
      <c r="H123" s="173"/>
      <c r="I123" s="173"/>
      <c r="J123" s="173"/>
    </row>
    <row r="124" spans="1:10" x14ac:dyDescent="0.25">
      <c r="A124" s="140"/>
      <c r="B124" s="140"/>
      <c r="C124" s="140"/>
      <c r="D124" s="173"/>
      <c r="E124" s="173"/>
      <c r="F124" s="173"/>
      <c r="G124" s="173"/>
      <c r="H124" s="173"/>
      <c r="I124" s="173"/>
      <c r="J124" s="173"/>
    </row>
    <row r="125" spans="1:10" x14ac:dyDescent="0.25">
      <c r="A125" s="140"/>
      <c r="B125" s="140"/>
      <c r="C125" s="140"/>
      <c r="D125" s="173"/>
      <c r="E125" s="173"/>
      <c r="F125" s="173"/>
      <c r="G125" s="173"/>
      <c r="H125" s="173"/>
      <c r="I125" s="173"/>
      <c r="J125" s="173"/>
    </row>
    <row r="126" spans="1:10" x14ac:dyDescent="0.25">
      <c r="A126" s="140"/>
      <c r="B126" s="140"/>
      <c r="C126" s="140"/>
      <c r="D126" s="173"/>
      <c r="E126" s="173"/>
      <c r="F126" s="173"/>
      <c r="G126" s="173"/>
      <c r="H126" s="173"/>
      <c r="I126" s="173"/>
      <c r="J126" s="173"/>
    </row>
    <row r="127" spans="1:10" x14ac:dyDescent="0.25">
      <c r="A127" s="140"/>
      <c r="B127" s="140"/>
      <c r="C127" s="140"/>
      <c r="D127" s="173"/>
      <c r="E127" s="173"/>
      <c r="F127" s="173"/>
      <c r="G127" s="173"/>
      <c r="H127" s="173"/>
      <c r="I127" s="173"/>
      <c r="J127" s="173"/>
    </row>
    <row r="128" spans="1:10" x14ac:dyDescent="0.25">
      <c r="A128" s="140"/>
      <c r="B128" s="140"/>
      <c r="C128" s="140"/>
      <c r="D128" s="173"/>
      <c r="E128" s="173"/>
      <c r="F128" s="173"/>
      <c r="G128" s="173"/>
      <c r="H128" s="173"/>
      <c r="I128" s="173"/>
      <c r="J128" s="173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W131"/>
  <sheetViews>
    <sheetView workbookViewId="0">
      <selection activeCell="T11" sqref="T11"/>
    </sheetView>
  </sheetViews>
  <sheetFormatPr defaultRowHeight="12.5" x14ac:dyDescent="0.25"/>
  <cols>
    <col min="2" max="2" width="18" bestFit="1" customWidth="1"/>
    <col min="3" max="3" width="10.26953125" bestFit="1" customWidth="1"/>
    <col min="18" max="18" width="9.1796875" style="112"/>
    <col min="19" max="19" width="13.81640625" bestFit="1" customWidth="1"/>
    <col min="20" max="20" width="21.81640625" customWidth="1"/>
    <col min="21" max="21" width="12" customWidth="1"/>
    <col min="22" max="22" width="15.54296875" bestFit="1" customWidth="1"/>
    <col min="23" max="23" width="14.7265625" customWidth="1"/>
  </cols>
  <sheetData>
    <row r="1" spans="1:23" s="112" customFormat="1" ht="26" x14ac:dyDescent="0.25">
      <c r="A1" s="45" t="s">
        <v>474</v>
      </c>
      <c r="B1" s="45" t="s">
        <v>489</v>
      </c>
      <c r="C1" s="138" t="s">
        <v>216</v>
      </c>
      <c r="D1" s="138" t="s">
        <v>190</v>
      </c>
      <c r="E1" s="138" t="s">
        <v>217</v>
      </c>
      <c r="F1" s="138" t="s">
        <v>218</v>
      </c>
      <c r="G1" s="138" t="s">
        <v>220</v>
      </c>
      <c r="H1" s="138" t="s">
        <v>221</v>
      </c>
      <c r="I1" s="138" t="s">
        <v>223</v>
      </c>
      <c r="J1" s="138" t="s">
        <v>191</v>
      </c>
      <c r="K1" s="138" t="s">
        <v>426</v>
      </c>
      <c r="L1" s="138" t="s">
        <v>341</v>
      </c>
      <c r="M1" s="138" t="s">
        <v>380</v>
      </c>
      <c r="N1" s="138" t="s">
        <v>484</v>
      </c>
      <c r="O1" s="138" t="s">
        <v>484</v>
      </c>
      <c r="P1" s="138" t="s">
        <v>491</v>
      </c>
      <c r="Q1" s="138"/>
      <c r="R1" s="138"/>
    </row>
    <row r="2" spans="1:23" x14ac:dyDescent="0.25">
      <c r="A2" s="45">
        <v>10</v>
      </c>
      <c r="B2" s="45">
        <v>10</v>
      </c>
      <c r="U2" s="112"/>
    </row>
    <row r="3" spans="1:23" x14ac:dyDescent="0.25">
      <c r="A3" s="45">
        <v>10</v>
      </c>
      <c r="B3" s="45">
        <v>10</v>
      </c>
      <c r="P3" s="112"/>
      <c r="S3" s="112"/>
      <c r="T3" s="112"/>
      <c r="U3" s="112"/>
      <c r="V3" s="112"/>
      <c r="W3" s="112"/>
    </row>
    <row r="4" spans="1:23" x14ac:dyDescent="0.25">
      <c r="A4" s="45">
        <v>10</v>
      </c>
      <c r="B4" s="45">
        <v>10</v>
      </c>
      <c r="P4" s="112"/>
      <c r="Q4" s="112"/>
      <c r="S4" s="112"/>
      <c r="T4" s="112"/>
      <c r="U4" s="197"/>
      <c r="V4" s="197"/>
      <c r="W4" s="197"/>
    </row>
    <row r="5" spans="1:23" x14ac:dyDescent="0.25">
      <c r="A5" s="45">
        <v>10</v>
      </c>
      <c r="B5" s="45">
        <v>10</v>
      </c>
      <c r="P5" s="112"/>
      <c r="Q5" s="112"/>
      <c r="S5" s="112"/>
      <c r="T5" s="112"/>
      <c r="U5" s="197"/>
      <c r="V5" s="197"/>
      <c r="W5" s="197"/>
    </row>
    <row r="6" spans="1:23" x14ac:dyDescent="0.25">
      <c r="A6" s="45">
        <v>10</v>
      </c>
      <c r="B6" s="45">
        <v>10</v>
      </c>
      <c r="P6" s="112"/>
      <c r="Q6" s="112"/>
      <c r="S6" s="112"/>
      <c r="T6" s="112"/>
      <c r="U6" s="197"/>
      <c r="V6" s="197"/>
      <c r="W6" s="197"/>
    </row>
    <row r="7" spans="1:23" x14ac:dyDescent="0.25">
      <c r="A7" s="45">
        <v>10</v>
      </c>
      <c r="B7" s="45">
        <v>10</v>
      </c>
      <c r="P7" s="112"/>
      <c r="Q7" s="112"/>
      <c r="S7" s="112"/>
      <c r="T7" s="112"/>
      <c r="U7" s="197"/>
      <c r="V7" s="197"/>
      <c r="W7" s="197"/>
    </row>
    <row r="8" spans="1:23" x14ac:dyDescent="0.25">
      <c r="A8" s="45">
        <v>10</v>
      </c>
      <c r="B8" s="45">
        <v>10</v>
      </c>
      <c r="P8" s="112"/>
      <c r="Q8" s="112"/>
      <c r="S8" s="112"/>
      <c r="T8" s="112"/>
      <c r="U8" s="197"/>
      <c r="V8" s="197"/>
      <c r="W8" s="197"/>
    </row>
    <row r="9" spans="1:23" x14ac:dyDescent="0.25">
      <c r="A9" s="45">
        <v>10</v>
      </c>
      <c r="B9" s="45">
        <v>10</v>
      </c>
      <c r="P9" s="112"/>
      <c r="Q9" s="112"/>
      <c r="S9" s="112"/>
      <c r="T9" s="112"/>
      <c r="U9" s="197"/>
      <c r="V9" s="197"/>
      <c r="W9" s="197"/>
    </row>
    <row r="10" spans="1:23" x14ac:dyDescent="0.25">
      <c r="A10" s="45">
        <v>10</v>
      </c>
      <c r="B10" s="45">
        <v>10</v>
      </c>
      <c r="P10" s="112"/>
      <c r="Q10" s="112"/>
      <c r="S10" s="112"/>
      <c r="T10" s="112"/>
      <c r="U10" s="197"/>
      <c r="V10" s="197"/>
      <c r="W10" s="197"/>
    </row>
    <row r="11" spans="1:23" x14ac:dyDescent="0.25">
      <c r="A11" s="45">
        <v>10</v>
      </c>
      <c r="B11" s="45">
        <v>10</v>
      </c>
      <c r="P11" s="112"/>
      <c r="Q11" s="112"/>
      <c r="S11" s="112"/>
      <c r="T11" s="112"/>
      <c r="U11" s="197"/>
      <c r="V11" s="197"/>
      <c r="W11" s="197"/>
    </row>
    <row r="12" spans="1:23" x14ac:dyDescent="0.25">
      <c r="A12" s="45">
        <v>10</v>
      </c>
      <c r="B12" s="45">
        <v>10</v>
      </c>
      <c r="P12" s="112"/>
      <c r="Q12" s="112"/>
      <c r="S12" s="112"/>
      <c r="T12" s="112"/>
      <c r="U12" s="197"/>
      <c r="V12" s="197"/>
      <c r="W12" s="197"/>
    </row>
    <row r="13" spans="1:23" x14ac:dyDescent="0.25">
      <c r="A13" s="45">
        <v>10</v>
      </c>
      <c r="B13" s="45">
        <v>10</v>
      </c>
      <c r="P13" s="112"/>
      <c r="Q13" s="112"/>
      <c r="S13" s="112"/>
      <c r="T13" s="112"/>
      <c r="U13" s="197"/>
      <c r="V13" s="197"/>
      <c r="W13" s="197"/>
    </row>
    <row r="14" spans="1:23" x14ac:dyDescent="0.25">
      <c r="A14" s="45">
        <v>10</v>
      </c>
      <c r="B14" s="45">
        <v>10</v>
      </c>
      <c r="P14" s="112"/>
      <c r="Q14" s="112"/>
      <c r="S14" s="112"/>
      <c r="T14" s="112"/>
      <c r="U14" s="197"/>
      <c r="V14" s="197"/>
      <c r="W14" s="197"/>
    </row>
    <row r="15" spans="1:23" x14ac:dyDescent="0.25">
      <c r="A15" s="45">
        <v>10</v>
      </c>
      <c r="B15" s="45">
        <v>30</v>
      </c>
      <c r="P15" s="112"/>
      <c r="Q15" s="112"/>
    </row>
    <row r="16" spans="1:23" x14ac:dyDescent="0.25">
      <c r="A16" s="45">
        <v>10</v>
      </c>
      <c r="B16" s="45">
        <v>30</v>
      </c>
      <c r="P16" s="112"/>
      <c r="Q16" s="112"/>
    </row>
    <row r="17" spans="1:17" x14ac:dyDescent="0.25">
      <c r="A17" s="45">
        <v>10</v>
      </c>
      <c r="B17" s="45">
        <v>30</v>
      </c>
      <c r="P17" s="112"/>
      <c r="Q17" s="112"/>
    </row>
    <row r="18" spans="1:17" x14ac:dyDescent="0.25">
      <c r="A18" s="45">
        <v>10</v>
      </c>
      <c r="B18" s="45">
        <v>30</v>
      </c>
      <c r="P18" s="112"/>
      <c r="Q18" s="112"/>
    </row>
    <row r="19" spans="1:17" x14ac:dyDescent="0.25">
      <c r="A19" s="45">
        <v>10</v>
      </c>
      <c r="B19" s="45">
        <v>30</v>
      </c>
      <c r="P19" s="112"/>
      <c r="Q19" s="112"/>
    </row>
    <row r="20" spans="1:17" x14ac:dyDescent="0.25">
      <c r="A20" s="45">
        <v>10</v>
      </c>
      <c r="B20" s="45">
        <v>30</v>
      </c>
      <c r="P20" s="112"/>
      <c r="Q20" s="112"/>
    </row>
    <row r="21" spans="1:17" x14ac:dyDescent="0.25">
      <c r="A21" s="45">
        <v>10</v>
      </c>
      <c r="B21" s="45">
        <v>30</v>
      </c>
      <c r="P21" s="112"/>
      <c r="Q21" s="112"/>
    </row>
    <row r="22" spans="1:17" x14ac:dyDescent="0.25">
      <c r="A22" s="45">
        <v>10</v>
      </c>
      <c r="B22" s="45">
        <v>30</v>
      </c>
      <c r="P22" s="112"/>
      <c r="Q22" s="112"/>
    </row>
    <row r="23" spans="1:17" x14ac:dyDescent="0.25">
      <c r="A23" s="45">
        <v>10</v>
      </c>
      <c r="B23" s="45">
        <v>30</v>
      </c>
      <c r="P23" s="112"/>
      <c r="Q23" s="112"/>
    </row>
    <row r="24" spans="1:17" x14ac:dyDescent="0.25">
      <c r="A24" s="45">
        <v>10</v>
      </c>
      <c r="B24" s="45">
        <v>30</v>
      </c>
      <c r="P24" s="112"/>
      <c r="Q24" s="112"/>
    </row>
    <row r="25" spans="1:17" x14ac:dyDescent="0.25">
      <c r="A25" s="45">
        <v>10</v>
      </c>
      <c r="B25" s="45">
        <v>30</v>
      </c>
      <c r="P25" s="112"/>
      <c r="Q25" s="112"/>
    </row>
    <row r="26" spans="1:17" x14ac:dyDescent="0.25">
      <c r="A26" s="45">
        <v>10</v>
      </c>
      <c r="B26" s="45">
        <v>30</v>
      </c>
      <c r="P26" s="112"/>
      <c r="Q26" s="112"/>
    </row>
    <row r="27" spans="1:17" x14ac:dyDescent="0.25">
      <c r="A27" s="45">
        <v>10</v>
      </c>
      <c r="B27" s="45">
        <v>30</v>
      </c>
      <c r="P27" s="112"/>
      <c r="Q27" s="112"/>
    </row>
    <row r="28" spans="1:17" x14ac:dyDescent="0.25">
      <c r="A28" s="45">
        <v>10</v>
      </c>
      <c r="B28" s="45">
        <v>50</v>
      </c>
      <c r="P28" s="112"/>
      <c r="Q28" s="112"/>
    </row>
    <row r="29" spans="1:17" x14ac:dyDescent="0.25">
      <c r="A29" s="45">
        <v>10</v>
      </c>
      <c r="B29" s="45">
        <v>50</v>
      </c>
      <c r="P29" s="112"/>
      <c r="Q29" s="112"/>
    </row>
    <row r="30" spans="1:17" x14ac:dyDescent="0.25">
      <c r="A30" s="45">
        <v>10</v>
      </c>
      <c r="B30" s="45">
        <v>50</v>
      </c>
      <c r="P30" s="112"/>
      <c r="Q30" s="112"/>
    </row>
    <row r="31" spans="1:17" x14ac:dyDescent="0.25">
      <c r="A31" s="45">
        <v>10</v>
      </c>
      <c r="B31" s="45">
        <v>50</v>
      </c>
      <c r="P31" s="112"/>
      <c r="Q31" s="112"/>
    </row>
    <row r="32" spans="1:17" x14ac:dyDescent="0.25">
      <c r="A32" s="45">
        <v>10</v>
      </c>
      <c r="B32" s="45">
        <v>50</v>
      </c>
      <c r="P32" s="112"/>
      <c r="Q32" s="112"/>
    </row>
    <row r="33" spans="1:17" x14ac:dyDescent="0.25">
      <c r="A33" s="45">
        <v>10</v>
      </c>
      <c r="B33" s="45">
        <v>50</v>
      </c>
      <c r="P33" s="112"/>
      <c r="Q33" s="112"/>
    </row>
    <row r="34" spans="1:17" x14ac:dyDescent="0.25">
      <c r="A34" s="45">
        <v>10</v>
      </c>
      <c r="B34" s="45">
        <v>50</v>
      </c>
      <c r="P34" s="112"/>
      <c r="Q34" s="112"/>
    </row>
    <row r="35" spans="1:17" x14ac:dyDescent="0.25">
      <c r="A35" s="45">
        <v>10</v>
      </c>
      <c r="B35" s="45">
        <v>50</v>
      </c>
      <c r="P35" s="112"/>
      <c r="Q35" s="112"/>
    </row>
    <row r="36" spans="1:17" x14ac:dyDescent="0.25">
      <c r="A36" s="45">
        <v>10</v>
      </c>
      <c r="B36" s="45">
        <v>50</v>
      </c>
      <c r="P36" s="112"/>
      <c r="Q36" s="112"/>
    </row>
    <row r="37" spans="1:17" x14ac:dyDescent="0.25">
      <c r="A37" s="45">
        <v>10</v>
      </c>
      <c r="B37" s="45">
        <v>50</v>
      </c>
      <c r="P37" s="112"/>
      <c r="Q37" s="112"/>
    </row>
    <row r="38" spans="1:17" x14ac:dyDescent="0.25">
      <c r="A38" s="45">
        <v>10</v>
      </c>
      <c r="B38" s="45">
        <v>50</v>
      </c>
      <c r="P38" s="112"/>
      <c r="Q38" s="112"/>
    </row>
    <row r="39" spans="1:17" x14ac:dyDescent="0.25">
      <c r="A39" s="45">
        <v>10</v>
      </c>
      <c r="B39" s="45">
        <v>50</v>
      </c>
      <c r="P39" s="112"/>
      <c r="Q39" s="112"/>
    </row>
    <row r="40" spans="1:17" x14ac:dyDescent="0.25">
      <c r="A40" s="45">
        <v>10</v>
      </c>
      <c r="B40" s="45">
        <v>50</v>
      </c>
      <c r="P40" s="112"/>
      <c r="Q40" s="112"/>
    </row>
    <row r="41" spans="1:17" x14ac:dyDescent="0.25">
      <c r="A41" s="45">
        <v>30</v>
      </c>
      <c r="B41" s="45">
        <v>10</v>
      </c>
      <c r="C41" s="112"/>
      <c r="D41" s="112"/>
      <c r="P41" s="112"/>
      <c r="Q41" s="112"/>
    </row>
    <row r="42" spans="1:17" x14ac:dyDescent="0.25">
      <c r="A42" s="45">
        <v>30</v>
      </c>
      <c r="B42" s="45">
        <v>10</v>
      </c>
      <c r="C42" s="112"/>
      <c r="D42" s="112"/>
      <c r="P42" s="112"/>
      <c r="Q42" s="112"/>
    </row>
    <row r="43" spans="1:17" x14ac:dyDescent="0.25">
      <c r="A43" s="45">
        <v>30</v>
      </c>
      <c r="B43" s="45">
        <v>10</v>
      </c>
      <c r="C43" s="112"/>
      <c r="D43" s="112"/>
      <c r="P43" s="112"/>
      <c r="Q43" s="112"/>
    </row>
    <row r="44" spans="1:17" x14ac:dyDescent="0.25">
      <c r="A44" s="45">
        <v>30</v>
      </c>
      <c r="B44" s="45">
        <v>10</v>
      </c>
      <c r="C44" s="112"/>
      <c r="D44" s="112"/>
      <c r="P44" s="112"/>
      <c r="Q44" s="112"/>
    </row>
    <row r="45" spans="1:17" x14ac:dyDescent="0.25">
      <c r="A45" s="45">
        <v>30</v>
      </c>
      <c r="B45" s="45">
        <v>10</v>
      </c>
      <c r="C45" s="112"/>
      <c r="D45" s="112"/>
      <c r="P45" s="112"/>
      <c r="Q45" s="112"/>
    </row>
    <row r="46" spans="1:17" x14ac:dyDescent="0.25">
      <c r="A46" s="45">
        <v>30</v>
      </c>
      <c r="B46" s="45">
        <v>10</v>
      </c>
      <c r="C46" s="112"/>
      <c r="D46" s="112"/>
      <c r="P46" s="112"/>
      <c r="Q46" s="112"/>
    </row>
    <row r="47" spans="1:17" x14ac:dyDescent="0.25">
      <c r="A47" s="45">
        <v>30</v>
      </c>
      <c r="B47" s="45">
        <v>10</v>
      </c>
      <c r="C47" s="112"/>
      <c r="D47" s="112"/>
      <c r="P47" s="112"/>
      <c r="Q47" s="112"/>
    </row>
    <row r="48" spans="1:17" x14ac:dyDescent="0.25">
      <c r="A48" s="45">
        <v>30</v>
      </c>
      <c r="B48" s="45">
        <v>10</v>
      </c>
      <c r="C48" s="112"/>
      <c r="D48" s="112"/>
      <c r="P48" s="112"/>
      <c r="Q48" s="112"/>
    </row>
    <row r="49" spans="1:17" x14ac:dyDescent="0.25">
      <c r="A49" s="45">
        <v>30</v>
      </c>
      <c r="B49" s="45">
        <v>10</v>
      </c>
      <c r="C49" s="112"/>
      <c r="D49" s="112"/>
      <c r="P49" s="112"/>
      <c r="Q49" s="112"/>
    </row>
    <row r="50" spans="1:17" x14ac:dyDescent="0.25">
      <c r="A50" s="45">
        <v>30</v>
      </c>
      <c r="B50" s="45">
        <v>10</v>
      </c>
      <c r="C50" s="112"/>
      <c r="D50" s="112"/>
      <c r="P50" s="112"/>
      <c r="Q50" s="112"/>
    </row>
    <row r="51" spans="1:17" x14ac:dyDescent="0.25">
      <c r="A51" s="45">
        <v>30</v>
      </c>
      <c r="B51" s="45">
        <v>10</v>
      </c>
      <c r="C51" s="112"/>
      <c r="D51" s="112"/>
      <c r="P51" s="112"/>
      <c r="Q51" s="112"/>
    </row>
    <row r="52" spans="1:17" x14ac:dyDescent="0.25">
      <c r="A52" s="45">
        <v>30</v>
      </c>
      <c r="B52" s="45">
        <v>10</v>
      </c>
      <c r="C52" s="112"/>
      <c r="D52" s="112"/>
      <c r="P52" s="112"/>
      <c r="Q52" s="112"/>
    </row>
    <row r="53" spans="1:17" x14ac:dyDescent="0.25">
      <c r="A53" s="45">
        <v>30</v>
      </c>
      <c r="B53" s="45">
        <v>10</v>
      </c>
      <c r="C53" s="112"/>
      <c r="D53" s="112"/>
      <c r="P53" s="112"/>
      <c r="Q53" s="112"/>
    </row>
    <row r="54" spans="1:17" x14ac:dyDescent="0.25">
      <c r="A54" s="45">
        <v>30</v>
      </c>
      <c r="B54" s="45">
        <v>30</v>
      </c>
      <c r="C54" s="112"/>
      <c r="D54" s="112"/>
      <c r="P54" s="112"/>
      <c r="Q54" s="112"/>
    </row>
    <row r="55" spans="1:17" x14ac:dyDescent="0.25">
      <c r="A55" s="45">
        <v>30</v>
      </c>
      <c r="B55" s="45">
        <v>30</v>
      </c>
      <c r="C55" s="112"/>
      <c r="D55" s="112"/>
      <c r="P55" s="112"/>
      <c r="Q55" s="112"/>
    </row>
    <row r="56" spans="1:17" x14ac:dyDescent="0.25">
      <c r="A56" s="45">
        <v>30</v>
      </c>
      <c r="B56" s="45">
        <v>30</v>
      </c>
      <c r="C56" s="112"/>
      <c r="D56" s="112"/>
      <c r="P56" s="112"/>
      <c r="Q56" s="112"/>
    </row>
    <row r="57" spans="1:17" x14ac:dyDescent="0.25">
      <c r="A57" s="45">
        <v>30</v>
      </c>
      <c r="B57" s="45">
        <v>30</v>
      </c>
      <c r="C57" s="112"/>
      <c r="D57" s="112"/>
      <c r="P57" s="112"/>
      <c r="Q57" s="112"/>
    </row>
    <row r="58" spans="1:17" x14ac:dyDescent="0.25">
      <c r="A58" s="45">
        <v>30</v>
      </c>
      <c r="B58" s="45">
        <v>30</v>
      </c>
      <c r="C58" s="112"/>
      <c r="D58" s="112"/>
      <c r="P58" s="112"/>
      <c r="Q58" s="112"/>
    </row>
    <row r="59" spans="1:17" x14ac:dyDescent="0.25">
      <c r="A59" s="45">
        <v>30</v>
      </c>
      <c r="B59" s="45">
        <v>30</v>
      </c>
      <c r="C59" s="112"/>
      <c r="D59" s="112"/>
      <c r="P59" s="112"/>
      <c r="Q59" s="112"/>
    </row>
    <row r="60" spans="1:17" x14ac:dyDescent="0.25">
      <c r="A60" s="45">
        <v>30</v>
      </c>
      <c r="B60" s="45">
        <v>30</v>
      </c>
      <c r="C60" s="112"/>
      <c r="D60" s="112"/>
      <c r="P60" s="112"/>
      <c r="Q60" s="112"/>
    </row>
    <row r="61" spans="1:17" x14ac:dyDescent="0.25">
      <c r="A61" s="45">
        <v>30</v>
      </c>
      <c r="B61" s="45">
        <v>30</v>
      </c>
      <c r="C61" s="112"/>
      <c r="D61" s="112"/>
      <c r="P61" s="112"/>
      <c r="Q61" s="112"/>
    </row>
    <row r="62" spans="1:17" x14ac:dyDescent="0.25">
      <c r="A62" s="45">
        <v>30</v>
      </c>
      <c r="B62" s="45">
        <v>30</v>
      </c>
      <c r="C62" s="112"/>
      <c r="D62" s="112"/>
      <c r="P62" s="112"/>
      <c r="Q62" s="112"/>
    </row>
    <row r="63" spans="1:17" x14ac:dyDescent="0.25">
      <c r="A63" s="45">
        <v>30</v>
      </c>
      <c r="B63" s="45">
        <v>30</v>
      </c>
      <c r="C63" s="112"/>
      <c r="D63" s="112"/>
      <c r="P63" s="112"/>
      <c r="Q63" s="112"/>
    </row>
    <row r="64" spans="1:17" x14ac:dyDescent="0.25">
      <c r="A64" s="45">
        <v>30</v>
      </c>
      <c r="B64" s="45">
        <v>30</v>
      </c>
      <c r="C64" s="112"/>
      <c r="D64" s="112"/>
      <c r="P64" s="112"/>
      <c r="Q64" s="112"/>
    </row>
    <row r="65" spans="1:17" x14ac:dyDescent="0.25">
      <c r="A65" s="45">
        <v>30</v>
      </c>
      <c r="B65" s="45">
        <v>30</v>
      </c>
      <c r="C65" s="112"/>
      <c r="D65" s="112"/>
      <c r="P65" s="112"/>
      <c r="Q65" s="112"/>
    </row>
    <row r="66" spans="1:17" x14ac:dyDescent="0.25">
      <c r="A66" s="45">
        <v>30</v>
      </c>
      <c r="B66" s="45">
        <v>30</v>
      </c>
      <c r="C66" s="112"/>
      <c r="D66" s="112"/>
      <c r="P66" s="112"/>
      <c r="Q66" s="112"/>
    </row>
    <row r="67" spans="1:17" x14ac:dyDescent="0.25">
      <c r="A67" s="45">
        <v>30</v>
      </c>
      <c r="B67" s="45">
        <v>50</v>
      </c>
      <c r="C67" s="112"/>
      <c r="D67" s="112"/>
      <c r="P67" s="112"/>
      <c r="Q67" s="112"/>
    </row>
    <row r="68" spans="1:17" x14ac:dyDescent="0.25">
      <c r="A68" s="45">
        <v>30</v>
      </c>
      <c r="B68" s="45">
        <v>50</v>
      </c>
      <c r="C68" s="112"/>
      <c r="D68" s="112"/>
      <c r="P68" s="112"/>
      <c r="Q68" s="112"/>
    </row>
    <row r="69" spans="1:17" x14ac:dyDescent="0.25">
      <c r="A69" s="45">
        <v>30</v>
      </c>
      <c r="B69" s="45">
        <v>50</v>
      </c>
      <c r="C69" s="112"/>
      <c r="D69" s="112"/>
      <c r="P69" s="112"/>
      <c r="Q69" s="112"/>
    </row>
    <row r="70" spans="1:17" x14ac:dyDescent="0.25">
      <c r="A70" s="45">
        <v>30</v>
      </c>
      <c r="B70" s="45">
        <v>50</v>
      </c>
      <c r="C70" s="112"/>
      <c r="D70" s="112"/>
      <c r="P70" s="112"/>
      <c r="Q70" s="112"/>
    </row>
    <row r="71" spans="1:17" x14ac:dyDescent="0.25">
      <c r="A71" s="45">
        <v>30</v>
      </c>
      <c r="B71" s="45">
        <v>50</v>
      </c>
      <c r="C71" s="112"/>
      <c r="D71" s="112"/>
      <c r="P71" s="112"/>
      <c r="Q71" s="112"/>
    </row>
    <row r="72" spans="1:17" x14ac:dyDescent="0.25">
      <c r="A72" s="45">
        <v>30</v>
      </c>
      <c r="B72" s="45">
        <v>50</v>
      </c>
      <c r="C72" s="112"/>
      <c r="D72" s="112"/>
      <c r="P72" s="112"/>
      <c r="Q72" s="112"/>
    </row>
    <row r="73" spans="1:17" x14ac:dyDescent="0.25">
      <c r="A73" s="45">
        <v>30</v>
      </c>
      <c r="B73" s="45">
        <v>50</v>
      </c>
      <c r="C73" s="112"/>
      <c r="D73" s="112"/>
      <c r="P73" s="112"/>
      <c r="Q73" s="112"/>
    </row>
    <row r="74" spans="1:17" x14ac:dyDescent="0.25">
      <c r="A74" s="45">
        <v>30</v>
      </c>
      <c r="B74" s="45">
        <v>50</v>
      </c>
      <c r="C74" s="112"/>
      <c r="D74" s="112"/>
      <c r="P74" s="112"/>
      <c r="Q74" s="112"/>
    </row>
    <row r="75" spans="1:17" x14ac:dyDescent="0.25">
      <c r="A75" s="45">
        <v>30</v>
      </c>
      <c r="B75" s="45">
        <v>50</v>
      </c>
      <c r="C75" s="112"/>
      <c r="D75" s="112"/>
      <c r="P75" s="112"/>
      <c r="Q75" s="112"/>
    </row>
    <row r="76" spans="1:17" x14ac:dyDescent="0.25">
      <c r="A76" s="45">
        <v>30</v>
      </c>
      <c r="B76" s="45">
        <v>50</v>
      </c>
      <c r="C76" s="112"/>
      <c r="D76" s="112"/>
      <c r="P76" s="112"/>
      <c r="Q76" s="112"/>
    </row>
    <row r="77" spans="1:17" x14ac:dyDescent="0.25">
      <c r="A77" s="45">
        <v>30</v>
      </c>
      <c r="B77" s="45">
        <v>50</v>
      </c>
      <c r="C77" s="112"/>
      <c r="D77" s="112"/>
      <c r="P77" s="112"/>
      <c r="Q77" s="112"/>
    </row>
    <row r="78" spans="1:17" x14ac:dyDescent="0.25">
      <c r="A78" s="45">
        <v>30</v>
      </c>
      <c r="B78" s="45">
        <v>50</v>
      </c>
      <c r="C78" s="112"/>
      <c r="D78" s="112"/>
      <c r="P78" s="112"/>
      <c r="Q78" s="112"/>
    </row>
    <row r="79" spans="1:17" x14ac:dyDescent="0.25">
      <c r="A79" s="45">
        <v>30</v>
      </c>
      <c r="B79" s="45">
        <v>50</v>
      </c>
      <c r="C79" s="112"/>
      <c r="D79" s="112"/>
      <c r="P79" s="112"/>
      <c r="Q79" s="112"/>
    </row>
    <row r="80" spans="1:17" x14ac:dyDescent="0.25">
      <c r="A80" s="45">
        <v>50</v>
      </c>
      <c r="B80" s="45">
        <v>10</v>
      </c>
      <c r="P80" s="112"/>
      <c r="Q80" s="112"/>
    </row>
    <row r="81" spans="1:17" x14ac:dyDescent="0.25">
      <c r="A81" s="45">
        <v>50</v>
      </c>
      <c r="B81" s="45">
        <v>10</v>
      </c>
      <c r="P81" s="112"/>
      <c r="Q81" s="112"/>
    </row>
    <row r="82" spans="1:17" x14ac:dyDescent="0.25">
      <c r="A82" s="45">
        <v>50</v>
      </c>
      <c r="B82" s="45">
        <v>10</v>
      </c>
      <c r="P82" s="112"/>
      <c r="Q82" s="112"/>
    </row>
    <row r="83" spans="1:17" x14ac:dyDescent="0.25">
      <c r="A83" s="45">
        <v>50</v>
      </c>
      <c r="B83" s="45">
        <v>10</v>
      </c>
      <c r="P83" s="112"/>
      <c r="Q83" s="112"/>
    </row>
    <row r="84" spans="1:17" x14ac:dyDescent="0.25">
      <c r="A84" s="45">
        <v>50</v>
      </c>
      <c r="B84" s="45">
        <v>10</v>
      </c>
      <c r="P84" s="112"/>
      <c r="Q84" s="112"/>
    </row>
    <row r="85" spans="1:17" x14ac:dyDescent="0.25">
      <c r="A85" s="45">
        <v>50</v>
      </c>
      <c r="B85" s="45">
        <v>10</v>
      </c>
      <c r="P85" s="112"/>
      <c r="Q85" s="112"/>
    </row>
    <row r="86" spans="1:17" x14ac:dyDescent="0.25">
      <c r="A86" s="45">
        <v>50</v>
      </c>
      <c r="B86" s="45">
        <v>10</v>
      </c>
      <c r="P86" s="112"/>
      <c r="Q86" s="112"/>
    </row>
    <row r="87" spans="1:17" x14ac:dyDescent="0.25">
      <c r="A87" s="45">
        <v>50</v>
      </c>
      <c r="B87" s="45">
        <v>10</v>
      </c>
      <c r="P87" s="112"/>
      <c r="Q87" s="112"/>
    </row>
    <row r="88" spans="1:17" x14ac:dyDescent="0.25">
      <c r="A88" s="45">
        <v>50</v>
      </c>
      <c r="B88" s="45">
        <v>10</v>
      </c>
      <c r="P88" s="112"/>
      <c r="Q88" s="112"/>
    </row>
    <row r="89" spans="1:17" x14ac:dyDescent="0.25">
      <c r="A89" s="45">
        <v>50</v>
      </c>
      <c r="B89" s="45">
        <v>10</v>
      </c>
      <c r="P89" s="112"/>
      <c r="Q89" s="112"/>
    </row>
    <row r="90" spans="1:17" x14ac:dyDescent="0.25">
      <c r="A90" s="45">
        <v>50</v>
      </c>
      <c r="B90" s="45">
        <v>10</v>
      </c>
      <c r="P90" s="112"/>
      <c r="Q90" s="112"/>
    </row>
    <row r="91" spans="1:17" x14ac:dyDescent="0.25">
      <c r="A91" s="45">
        <v>50</v>
      </c>
      <c r="B91" s="45">
        <v>10</v>
      </c>
      <c r="P91" s="112"/>
      <c r="Q91" s="112"/>
    </row>
    <row r="92" spans="1:17" x14ac:dyDescent="0.25">
      <c r="A92" s="45">
        <v>50</v>
      </c>
      <c r="B92" s="45">
        <v>10</v>
      </c>
      <c r="P92" s="112"/>
      <c r="Q92" s="112"/>
    </row>
    <row r="93" spans="1:17" x14ac:dyDescent="0.25">
      <c r="A93" s="45">
        <v>50</v>
      </c>
      <c r="B93" s="45">
        <v>30</v>
      </c>
      <c r="P93" s="112"/>
      <c r="Q93" s="112"/>
    </row>
    <row r="94" spans="1:17" x14ac:dyDescent="0.25">
      <c r="A94" s="45">
        <v>50</v>
      </c>
      <c r="B94" s="45">
        <v>30</v>
      </c>
      <c r="P94" s="112"/>
      <c r="Q94" s="112"/>
    </row>
    <row r="95" spans="1:17" x14ac:dyDescent="0.25">
      <c r="A95" s="45">
        <v>50</v>
      </c>
      <c r="B95" s="45">
        <v>30</v>
      </c>
      <c r="P95" s="112"/>
      <c r="Q95" s="112"/>
    </row>
    <row r="96" spans="1:17" x14ac:dyDescent="0.25">
      <c r="A96" s="45">
        <v>50</v>
      </c>
      <c r="B96" s="45">
        <v>30</v>
      </c>
      <c r="P96" s="112"/>
      <c r="Q96" s="112"/>
    </row>
    <row r="97" spans="1:17" x14ac:dyDescent="0.25">
      <c r="A97" s="45">
        <v>50</v>
      </c>
      <c r="B97" s="45">
        <v>30</v>
      </c>
      <c r="P97" s="112"/>
      <c r="Q97" s="112"/>
    </row>
    <row r="98" spans="1:17" x14ac:dyDescent="0.25">
      <c r="A98" s="45">
        <v>50</v>
      </c>
      <c r="B98" s="45">
        <v>30</v>
      </c>
      <c r="P98" s="112"/>
      <c r="Q98" s="112"/>
    </row>
    <row r="99" spans="1:17" x14ac:dyDescent="0.25">
      <c r="A99" s="45">
        <v>50</v>
      </c>
      <c r="B99" s="45">
        <v>30</v>
      </c>
      <c r="P99" s="112"/>
      <c r="Q99" s="112"/>
    </row>
    <row r="100" spans="1:17" x14ac:dyDescent="0.25">
      <c r="A100" s="45">
        <v>50</v>
      </c>
      <c r="B100" s="45">
        <v>30</v>
      </c>
      <c r="P100" s="112"/>
      <c r="Q100" s="112"/>
    </row>
    <row r="101" spans="1:17" x14ac:dyDescent="0.25">
      <c r="A101" s="45">
        <v>50</v>
      </c>
      <c r="B101" s="45">
        <v>30</v>
      </c>
      <c r="P101" s="112"/>
      <c r="Q101" s="112"/>
    </row>
    <row r="102" spans="1:17" x14ac:dyDescent="0.25">
      <c r="A102" s="45">
        <v>50</v>
      </c>
      <c r="B102" s="45">
        <v>30</v>
      </c>
      <c r="P102" s="112"/>
      <c r="Q102" s="112"/>
    </row>
    <row r="103" spans="1:17" x14ac:dyDescent="0.25">
      <c r="A103" s="45">
        <v>50</v>
      </c>
      <c r="B103" s="45">
        <v>30</v>
      </c>
      <c r="P103" s="112"/>
      <c r="Q103" s="112"/>
    </row>
    <row r="104" spans="1:17" x14ac:dyDescent="0.25">
      <c r="A104" s="45">
        <v>50</v>
      </c>
      <c r="B104" s="45">
        <v>30</v>
      </c>
      <c r="P104" s="112"/>
      <c r="Q104" s="112"/>
    </row>
    <row r="105" spans="1:17" x14ac:dyDescent="0.25">
      <c r="A105" s="45">
        <v>50</v>
      </c>
      <c r="B105" s="45">
        <v>30</v>
      </c>
      <c r="P105" s="112"/>
      <c r="Q105" s="112"/>
    </row>
    <row r="106" spans="1:17" x14ac:dyDescent="0.25">
      <c r="A106" s="45">
        <v>50</v>
      </c>
      <c r="B106" s="45">
        <v>50</v>
      </c>
      <c r="P106" s="112"/>
      <c r="Q106" s="112"/>
    </row>
    <row r="107" spans="1:17" x14ac:dyDescent="0.25">
      <c r="A107" s="45">
        <v>50</v>
      </c>
      <c r="B107" s="45">
        <v>50</v>
      </c>
      <c r="P107" s="112"/>
      <c r="Q107" s="112"/>
    </row>
    <row r="108" spans="1:17" x14ac:dyDescent="0.25">
      <c r="A108" s="45">
        <v>50</v>
      </c>
      <c r="B108" s="45">
        <v>50</v>
      </c>
      <c r="P108" s="112"/>
      <c r="Q108" s="112"/>
    </row>
    <row r="109" spans="1:17" x14ac:dyDescent="0.25">
      <c r="A109" s="45">
        <v>50</v>
      </c>
      <c r="B109" s="45">
        <v>50</v>
      </c>
      <c r="P109" s="112"/>
      <c r="Q109" s="112"/>
    </row>
    <row r="110" spans="1:17" x14ac:dyDescent="0.25">
      <c r="A110" s="45">
        <v>50</v>
      </c>
      <c r="B110" s="45">
        <v>50</v>
      </c>
      <c r="P110" s="112"/>
      <c r="Q110" s="112"/>
    </row>
    <row r="111" spans="1:17" x14ac:dyDescent="0.25">
      <c r="A111" s="45">
        <v>50</v>
      </c>
      <c r="B111" s="45">
        <v>50</v>
      </c>
      <c r="P111" s="112"/>
      <c r="Q111" s="112"/>
    </row>
    <row r="112" spans="1:17" x14ac:dyDescent="0.25">
      <c r="A112" s="45">
        <v>50</v>
      </c>
      <c r="B112" s="45">
        <v>50</v>
      </c>
      <c r="P112" s="112"/>
      <c r="Q112" s="112"/>
    </row>
    <row r="113" spans="1:17" x14ac:dyDescent="0.25">
      <c r="A113" s="45">
        <v>50</v>
      </c>
      <c r="B113" s="45">
        <v>50</v>
      </c>
      <c r="P113" s="112"/>
      <c r="Q113" s="112"/>
    </row>
    <row r="114" spans="1:17" x14ac:dyDescent="0.25">
      <c r="A114" s="45">
        <v>50</v>
      </c>
      <c r="B114" s="45">
        <v>50</v>
      </c>
      <c r="P114" s="112"/>
      <c r="Q114" s="112"/>
    </row>
    <row r="115" spans="1:17" x14ac:dyDescent="0.25">
      <c r="A115" s="45">
        <v>50</v>
      </c>
      <c r="B115" s="45">
        <v>50</v>
      </c>
      <c r="P115" s="112"/>
      <c r="Q115" s="112"/>
    </row>
    <row r="116" spans="1:17" x14ac:dyDescent="0.25">
      <c r="A116" s="45">
        <v>50</v>
      </c>
      <c r="B116" s="45">
        <v>50</v>
      </c>
      <c r="P116" s="112"/>
      <c r="Q116" s="112"/>
    </row>
    <row r="117" spans="1:17" x14ac:dyDescent="0.25">
      <c r="A117" s="45">
        <v>50</v>
      </c>
      <c r="B117" s="45">
        <v>50</v>
      </c>
      <c r="P117" s="112"/>
      <c r="Q117" s="112"/>
    </row>
    <row r="118" spans="1:17" x14ac:dyDescent="0.25">
      <c r="A118" s="45">
        <v>50</v>
      </c>
      <c r="B118" s="45">
        <v>50</v>
      </c>
      <c r="P118" s="112"/>
      <c r="Q118" s="112"/>
    </row>
    <row r="119" spans="1:17" x14ac:dyDescent="0.25">
      <c r="A119" s="45">
        <v>150</v>
      </c>
      <c r="B119" s="45">
        <v>100</v>
      </c>
      <c r="Q119" s="112"/>
    </row>
    <row r="120" spans="1:17" x14ac:dyDescent="0.25">
      <c r="A120" s="45">
        <v>150</v>
      </c>
      <c r="B120" s="45">
        <v>100</v>
      </c>
      <c r="P120" s="112"/>
      <c r="Q120" s="112"/>
    </row>
    <row r="121" spans="1:17" x14ac:dyDescent="0.25">
      <c r="A121" s="45">
        <v>150</v>
      </c>
      <c r="B121" s="45">
        <v>100</v>
      </c>
      <c r="P121" s="112"/>
      <c r="Q121" s="112"/>
    </row>
    <row r="122" spans="1:17" x14ac:dyDescent="0.25">
      <c r="A122" s="45">
        <v>150</v>
      </c>
      <c r="B122" s="45">
        <v>100</v>
      </c>
      <c r="P122" s="112"/>
      <c r="Q122" s="112"/>
    </row>
    <row r="123" spans="1:17" x14ac:dyDescent="0.25">
      <c r="A123" s="45">
        <v>150</v>
      </c>
      <c r="B123" s="45">
        <v>100</v>
      </c>
      <c r="P123" s="112"/>
      <c r="Q123" s="112"/>
    </row>
    <row r="124" spans="1:17" x14ac:dyDescent="0.25">
      <c r="A124" s="45">
        <v>150</v>
      </c>
      <c r="B124" s="45">
        <v>100</v>
      </c>
      <c r="P124" s="112"/>
      <c r="Q124" s="112"/>
    </row>
    <row r="125" spans="1:17" x14ac:dyDescent="0.25">
      <c r="A125" s="45">
        <v>150</v>
      </c>
      <c r="B125" s="45">
        <v>100</v>
      </c>
      <c r="P125" s="112"/>
      <c r="Q125" s="112"/>
    </row>
    <row r="126" spans="1:17" x14ac:dyDescent="0.25">
      <c r="A126" s="45">
        <v>150</v>
      </c>
      <c r="B126" s="45">
        <v>100</v>
      </c>
      <c r="P126" s="112"/>
      <c r="Q126" s="112"/>
    </row>
    <row r="127" spans="1:17" x14ac:dyDescent="0.25">
      <c r="A127" s="45">
        <v>150</v>
      </c>
      <c r="B127" s="45">
        <v>100</v>
      </c>
      <c r="P127" s="112"/>
      <c r="Q127" s="112"/>
    </row>
    <row r="128" spans="1:17" x14ac:dyDescent="0.25">
      <c r="A128" s="45">
        <v>150</v>
      </c>
      <c r="B128" s="45">
        <v>100</v>
      </c>
      <c r="P128" s="112"/>
      <c r="Q128" s="112"/>
    </row>
    <row r="129" spans="1:17" x14ac:dyDescent="0.25">
      <c r="A129" s="45">
        <v>150</v>
      </c>
      <c r="B129" s="45">
        <v>100</v>
      </c>
      <c r="P129" s="112"/>
      <c r="Q129" s="112"/>
    </row>
    <row r="130" spans="1:17" x14ac:dyDescent="0.25">
      <c r="A130" s="45">
        <v>150</v>
      </c>
      <c r="B130" s="45">
        <v>100</v>
      </c>
      <c r="P130" s="112"/>
      <c r="Q130" s="112"/>
    </row>
    <row r="131" spans="1:17" x14ac:dyDescent="0.25">
      <c r="A131" s="45">
        <v>150</v>
      </c>
      <c r="B131" s="45">
        <v>100</v>
      </c>
      <c r="P131" s="112"/>
      <c r="Q131" s="112"/>
    </row>
  </sheetData>
  <autoFilter ref="A1:P131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1:F72"/>
  <sheetViews>
    <sheetView workbookViewId="0">
      <selection activeCell="J16" sqref="J16"/>
    </sheetView>
  </sheetViews>
  <sheetFormatPr defaultColWidth="31.453125" defaultRowHeight="13" x14ac:dyDescent="0.25"/>
  <cols>
    <col min="1" max="1" width="2.26953125" style="11" customWidth="1"/>
    <col min="2" max="2" width="2.453125" style="11" customWidth="1"/>
    <col min="3" max="3" width="51" style="12" customWidth="1"/>
    <col min="4" max="4" width="21.1796875" style="11" customWidth="1"/>
    <col min="5" max="5" width="14.26953125" style="13" customWidth="1"/>
    <col min="6" max="6" width="12.81640625" style="13" customWidth="1"/>
    <col min="7" max="16384" width="31.453125" style="11"/>
  </cols>
  <sheetData>
    <row r="1" spans="2:6" ht="13.5" thickBot="1" x14ac:dyDescent="0.3"/>
    <row r="2" spans="2:6" s="18" customFormat="1" ht="30.75" customHeight="1" x14ac:dyDescent="0.25">
      <c r="B2" s="14"/>
      <c r="C2" s="15" t="s">
        <v>411</v>
      </c>
      <c r="D2" s="16"/>
      <c r="E2" s="16"/>
      <c r="F2" s="17"/>
    </row>
    <row r="3" spans="2:6" s="23" customFormat="1" ht="29.25" customHeight="1" x14ac:dyDescent="0.25">
      <c r="B3" s="19"/>
      <c r="C3" s="20" t="s">
        <v>239</v>
      </c>
      <c r="D3" s="20" t="s">
        <v>240</v>
      </c>
      <c r="E3" s="21" t="s">
        <v>241</v>
      </c>
      <c r="F3" s="22" t="s">
        <v>6</v>
      </c>
    </row>
    <row r="4" spans="2:6" s="28" customFormat="1" ht="21.75" customHeight="1" x14ac:dyDescent="0.25">
      <c r="B4" s="24"/>
      <c r="C4" s="25" t="s">
        <v>242</v>
      </c>
      <c r="D4" s="25"/>
      <c r="E4" s="26"/>
      <c r="F4" s="27"/>
    </row>
    <row r="5" spans="2:6" x14ac:dyDescent="0.25">
      <c r="B5" s="29"/>
      <c r="C5" s="30" t="s">
        <v>243</v>
      </c>
      <c r="D5" s="31" t="s">
        <v>244</v>
      </c>
      <c r="E5" s="32" t="s">
        <v>245</v>
      </c>
      <c r="F5" s="33"/>
    </row>
    <row r="6" spans="2:6" x14ac:dyDescent="0.25">
      <c r="B6" s="29"/>
      <c r="C6" s="30" t="s">
        <v>246</v>
      </c>
      <c r="D6" s="31" t="s">
        <v>247</v>
      </c>
      <c r="E6" s="32" t="s">
        <v>224</v>
      </c>
      <c r="F6" s="33"/>
    </row>
    <row r="7" spans="2:6" x14ac:dyDescent="0.25">
      <c r="B7" s="29"/>
      <c r="C7" s="30" t="s">
        <v>248</v>
      </c>
      <c r="D7" s="31" t="s">
        <v>225</v>
      </c>
      <c r="E7" s="32" t="s">
        <v>237</v>
      </c>
      <c r="F7" s="33" t="s">
        <v>249</v>
      </c>
    </row>
    <row r="8" spans="2:6" x14ac:dyDescent="0.25">
      <c r="B8" s="34"/>
      <c r="C8" s="35" t="s">
        <v>250</v>
      </c>
      <c r="D8" s="36" t="s">
        <v>251</v>
      </c>
      <c r="E8" s="37" t="s">
        <v>252</v>
      </c>
      <c r="F8" s="38" t="s">
        <v>253</v>
      </c>
    </row>
    <row r="9" spans="2:6" s="28" customFormat="1" ht="21.75" customHeight="1" x14ac:dyDescent="0.25">
      <c r="B9" s="24"/>
      <c r="C9" s="25" t="s">
        <v>254</v>
      </c>
      <c r="D9" s="25"/>
      <c r="E9" s="26"/>
      <c r="F9" s="27"/>
    </row>
    <row r="10" spans="2:6" x14ac:dyDescent="0.25">
      <c r="B10" s="29"/>
      <c r="C10" s="30" t="s">
        <v>255</v>
      </c>
      <c r="D10" s="31" t="s">
        <v>190</v>
      </c>
      <c r="E10" s="32" t="s">
        <v>256</v>
      </c>
      <c r="F10" s="33" t="s">
        <v>64</v>
      </c>
    </row>
    <row r="11" spans="2:6" x14ac:dyDescent="0.25">
      <c r="B11" s="29"/>
      <c r="C11" s="30" t="s">
        <v>257</v>
      </c>
      <c r="D11" s="31" t="s">
        <v>258</v>
      </c>
      <c r="E11" s="32" t="s">
        <v>259</v>
      </c>
      <c r="F11" s="33" t="s">
        <v>260</v>
      </c>
    </row>
    <row r="12" spans="2:6" x14ac:dyDescent="0.25">
      <c r="B12" s="29"/>
      <c r="C12" s="30" t="s">
        <v>261</v>
      </c>
      <c r="D12" s="31" t="s">
        <v>262</v>
      </c>
      <c r="E12" s="32" t="s">
        <v>263</v>
      </c>
      <c r="F12" s="33" t="s">
        <v>414</v>
      </c>
    </row>
    <row r="13" spans="2:6" x14ac:dyDescent="0.25">
      <c r="B13" s="29"/>
      <c r="C13" s="30" t="s">
        <v>264</v>
      </c>
      <c r="D13" s="31" t="s">
        <v>221</v>
      </c>
      <c r="E13" s="32" t="s">
        <v>265</v>
      </c>
      <c r="F13" s="33" t="s">
        <v>415</v>
      </c>
    </row>
    <row r="14" spans="2:6" x14ac:dyDescent="0.25">
      <c r="B14" s="29"/>
      <c r="C14" s="30" t="s">
        <v>266</v>
      </c>
      <c r="D14" s="31" t="s">
        <v>223</v>
      </c>
      <c r="E14" s="32" t="s">
        <v>267</v>
      </c>
      <c r="F14" s="33" t="s">
        <v>268</v>
      </c>
    </row>
    <row r="15" spans="2:6" x14ac:dyDescent="0.25">
      <c r="B15" s="29"/>
      <c r="C15" s="30" t="s">
        <v>269</v>
      </c>
      <c r="D15" s="31" t="s">
        <v>222</v>
      </c>
      <c r="E15" s="32" t="s">
        <v>222</v>
      </c>
      <c r="F15" s="33" t="s">
        <v>416</v>
      </c>
    </row>
    <row r="16" spans="2:6" x14ac:dyDescent="0.25">
      <c r="B16" s="29"/>
      <c r="C16" s="30" t="s">
        <v>270</v>
      </c>
      <c r="D16" s="31" t="s">
        <v>271</v>
      </c>
      <c r="E16" s="32" t="s">
        <v>272</v>
      </c>
      <c r="F16" s="33" t="s">
        <v>416</v>
      </c>
    </row>
    <row r="17" spans="2:6" x14ac:dyDescent="0.25">
      <c r="B17" s="29"/>
      <c r="C17" s="30" t="s">
        <v>273</v>
      </c>
      <c r="D17" s="31" t="s">
        <v>274</v>
      </c>
      <c r="E17" s="32" t="s">
        <v>275</v>
      </c>
      <c r="F17" s="33" t="s">
        <v>276</v>
      </c>
    </row>
    <row r="18" spans="2:6" x14ac:dyDescent="0.25">
      <c r="B18" s="29"/>
      <c r="C18" s="30" t="s">
        <v>277</v>
      </c>
      <c r="D18" s="31" t="s">
        <v>191</v>
      </c>
      <c r="E18" s="32" t="s">
        <v>191</v>
      </c>
      <c r="F18" s="33"/>
    </row>
    <row r="19" spans="2:6" x14ac:dyDescent="0.25">
      <c r="B19" s="29"/>
      <c r="C19" s="30" t="s">
        <v>278</v>
      </c>
      <c r="D19" s="31" t="s">
        <v>226</v>
      </c>
      <c r="E19" s="32" t="s">
        <v>279</v>
      </c>
      <c r="F19" s="33"/>
    </row>
    <row r="20" spans="2:6" x14ac:dyDescent="0.25">
      <c r="B20" s="29"/>
      <c r="C20" s="30" t="s">
        <v>280</v>
      </c>
      <c r="D20" s="31" t="s">
        <v>231</v>
      </c>
      <c r="E20" s="32" t="s">
        <v>281</v>
      </c>
      <c r="F20" s="33" t="s">
        <v>276</v>
      </c>
    </row>
    <row r="21" spans="2:6" x14ac:dyDescent="0.25">
      <c r="B21" s="34"/>
      <c r="C21" s="35" t="s">
        <v>282</v>
      </c>
      <c r="D21" s="36" t="s">
        <v>283</v>
      </c>
      <c r="E21" s="37" t="s">
        <v>284</v>
      </c>
      <c r="F21" s="38"/>
    </row>
    <row r="22" spans="2:6" s="28" customFormat="1" ht="21.75" customHeight="1" x14ac:dyDescent="0.25">
      <c r="B22" s="24"/>
      <c r="C22" s="25" t="s">
        <v>285</v>
      </c>
      <c r="D22" s="25"/>
      <c r="E22" s="26"/>
      <c r="F22" s="27"/>
    </row>
    <row r="23" spans="2:6" x14ac:dyDescent="0.25">
      <c r="B23" s="29"/>
      <c r="C23" s="30" t="s">
        <v>286</v>
      </c>
      <c r="D23" s="31" t="s">
        <v>218</v>
      </c>
      <c r="E23" s="32" t="s">
        <v>287</v>
      </c>
      <c r="F23" s="33" t="s">
        <v>288</v>
      </c>
    </row>
    <row r="24" spans="2:6" x14ac:dyDescent="0.25">
      <c r="B24" s="29"/>
      <c r="C24" s="30" t="s">
        <v>289</v>
      </c>
      <c r="D24" s="31" t="s">
        <v>219</v>
      </c>
      <c r="E24" s="32" t="s">
        <v>290</v>
      </c>
      <c r="F24" s="33" t="s">
        <v>288</v>
      </c>
    </row>
    <row r="25" spans="2:6" x14ac:dyDescent="0.25">
      <c r="B25" s="29"/>
      <c r="C25" s="30" t="s">
        <v>291</v>
      </c>
      <c r="D25" s="31" t="s">
        <v>220</v>
      </c>
      <c r="E25" s="32" t="s">
        <v>292</v>
      </c>
      <c r="F25" s="33" t="s">
        <v>288</v>
      </c>
    </row>
    <row r="26" spans="2:6" x14ac:dyDescent="0.25">
      <c r="B26" s="29"/>
      <c r="C26" s="30" t="s">
        <v>293</v>
      </c>
      <c r="D26" s="31" t="s">
        <v>294</v>
      </c>
      <c r="E26" s="32" t="s">
        <v>295</v>
      </c>
      <c r="F26" s="33" t="s">
        <v>288</v>
      </c>
    </row>
    <row r="27" spans="2:6" x14ac:dyDescent="0.25">
      <c r="B27" s="29"/>
      <c r="C27" s="30" t="s">
        <v>296</v>
      </c>
      <c r="D27" s="31" t="s">
        <v>297</v>
      </c>
      <c r="E27" s="32" t="s">
        <v>298</v>
      </c>
      <c r="F27" s="33" t="s">
        <v>299</v>
      </c>
    </row>
    <row r="28" spans="2:6" x14ac:dyDescent="0.25">
      <c r="B28" s="29"/>
      <c r="C28" s="30" t="s">
        <v>300</v>
      </c>
      <c r="D28" s="31" t="s">
        <v>301</v>
      </c>
      <c r="E28" s="32" t="s">
        <v>302</v>
      </c>
      <c r="F28" s="33" t="s">
        <v>303</v>
      </c>
    </row>
    <row r="29" spans="2:6" x14ac:dyDescent="0.25">
      <c r="B29" s="29"/>
      <c r="C29" s="30" t="s">
        <v>304</v>
      </c>
      <c r="D29" s="31" t="s">
        <v>305</v>
      </c>
      <c r="E29" s="32" t="s">
        <v>306</v>
      </c>
      <c r="F29" s="33"/>
    </row>
    <row r="30" spans="2:6" x14ac:dyDescent="0.25">
      <c r="B30" s="34"/>
      <c r="C30" s="35" t="s">
        <v>91</v>
      </c>
      <c r="D30" s="36" t="s">
        <v>307</v>
      </c>
      <c r="E30" s="37" t="s">
        <v>307</v>
      </c>
      <c r="F30" s="38" t="s">
        <v>308</v>
      </c>
    </row>
    <row r="31" spans="2:6" s="28" customFormat="1" ht="21.75" customHeight="1" x14ac:dyDescent="0.25">
      <c r="B31" s="24"/>
      <c r="C31" s="25" t="s">
        <v>309</v>
      </c>
      <c r="D31" s="25"/>
      <c r="E31" s="26"/>
      <c r="F31" s="27"/>
    </row>
    <row r="32" spans="2:6" x14ac:dyDescent="0.25">
      <c r="B32" s="29"/>
      <c r="C32" s="30" t="s">
        <v>310</v>
      </c>
      <c r="D32" s="31" t="s">
        <v>311</v>
      </c>
      <c r="E32" s="32" t="s">
        <v>312</v>
      </c>
      <c r="F32" s="33" t="s">
        <v>313</v>
      </c>
    </row>
    <row r="33" spans="2:6" x14ac:dyDescent="0.25">
      <c r="B33" s="29"/>
      <c r="C33" s="30" t="s">
        <v>314</v>
      </c>
      <c r="D33" s="31" t="s">
        <v>315</v>
      </c>
      <c r="E33" s="32" t="s">
        <v>316</v>
      </c>
      <c r="F33" s="33" t="s">
        <v>313</v>
      </c>
    </row>
    <row r="34" spans="2:6" x14ac:dyDescent="0.25">
      <c r="B34" s="29"/>
      <c r="C34" s="30" t="s">
        <v>317</v>
      </c>
      <c r="D34" s="31" t="s">
        <v>318</v>
      </c>
      <c r="E34" s="32" t="s">
        <v>319</v>
      </c>
      <c r="F34" s="33" t="s">
        <v>320</v>
      </c>
    </row>
    <row r="35" spans="2:6" x14ac:dyDescent="0.25">
      <c r="B35" s="29"/>
      <c r="C35" s="30" t="s">
        <v>321</v>
      </c>
      <c r="D35" s="31" t="s">
        <v>322</v>
      </c>
      <c r="E35" s="32" t="s">
        <v>323</v>
      </c>
      <c r="F35" s="33" t="s">
        <v>320</v>
      </c>
    </row>
    <row r="36" spans="2:6" x14ac:dyDescent="0.25">
      <c r="B36" s="29"/>
      <c r="C36" s="30" t="s">
        <v>324</v>
      </c>
      <c r="D36" s="31" t="s">
        <v>325</v>
      </c>
      <c r="E36" s="32" t="s">
        <v>326</v>
      </c>
      <c r="F36" s="33" t="s">
        <v>320</v>
      </c>
    </row>
    <row r="37" spans="2:6" x14ac:dyDescent="0.25">
      <c r="B37" s="29"/>
      <c r="C37" s="30" t="s">
        <v>327</v>
      </c>
      <c r="D37" s="31" t="s">
        <v>328</v>
      </c>
      <c r="E37" s="32" t="s">
        <v>329</v>
      </c>
      <c r="F37" s="33" t="s">
        <v>299</v>
      </c>
    </row>
    <row r="38" spans="2:6" s="28" customFormat="1" ht="21.75" customHeight="1" x14ac:dyDescent="0.25">
      <c r="B38" s="24"/>
      <c r="C38" s="25" t="s">
        <v>330</v>
      </c>
      <c r="D38" s="25"/>
      <c r="E38" s="26"/>
      <c r="F38" s="27"/>
    </row>
    <row r="39" spans="2:6" x14ac:dyDescent="0.25">
      <c r="B39" s="29"/>
      <c r="C39" s="30" t="s">
        <v>331</v>
      </c>
      <c r="D39" s="31" t="s">
        <v>332</v>
      </c>
      <c r="E39" s="32" t="s">
        <v>332</v>
      </c>
      <c r="F39" s="33"/>
    </row>
    <row r="40" spans="2:6" x14ac:dyDescent="0.25">
      <c r="B40" s="29"/>
      <c r="C40" s="30" t="s">
        <v>333</v>
      </c>
      <c r="D40" s="31" t="s">
        <v>334</v>
      </c>
      <c r="E40" s="32" t="s">
        <v>334</v>
      </c>
      <c r="F40" s="33"/>
    </row>
    <row r="41" spans="2:6" x14ac:dyDescent="0.25">
      <c r="B41" s="29"/>
      <c r="C41" s="30" t="s">
        <v>335</v>
      </c>
      <c r="D41" s="31" t="s">
        <v>336</v>
      </c>
      <c r="E41" s="32" t="s">
        <v>337</v>
      </c>
      <c r="F41" s="33"/>
    </row>
    <row r="42" spans="2:6" x14ac:dyDescent="0.25">
      <c r="B42" s="29"/>
      <c r="C42" s="30" t="s">
        <v>338</v>
      </c>
      <c r="D42" s="31" t="s">
        <v>339</v>
      </c>
      <c r="E42" s="32" t="s">
        <v>339</v>
      </c>
      <c r="F42" s="33"/>
    </row>
    <row r="43" spans="2:6" x14ac:dyDescent="0.25">
      <c r="B43" s="29"/>
      <c r="C43" s="30" t="s">
        <v>340</v>
      </c>
      <c r="D43" s="31" t="s">
        <v>341</v>
      </c>
      <c r="E43" s="32" t="s">
        <v>341</v>
      </c>
      <c r="F43" s="33"/>
    </row>
    <row r="44" spans="2:6" x14ac:dyDescent="0.25">
      <c r="B44" s="29"/>
      <c r="C44" s="30" t="s">
        <v>342</v>
      </c>
      <c r="D44" s="31" t="s">
        <v>343</v>
      </c>
      <c r="E44" s="32" t="s">
        <v>343</v>
      </c>
      <c r="F44" s="33"/>
    </row>
    <row r="45" spans="2:6" x14ac:dyDescent="0.25">
      <c r="B45" s="29"/>
      <c r="C45" s="30" t="s">
        <v>344</v>
      </c>
      <c r="D45" s="31" t="s">
        <v>345</v>
      </c>
      <c r="E45" s="32" t="s">
        <v>346</v>
      </c>
      <c r="F45" s="33"/>
    </row>
    <row r="46" spans="2:6" x14ac:dyDescent="0.25">
      <c r="B46" s="29"/>
      <c r="C46" s="30" t="s">
        <v>347</v>
      </c>
      <c r="D46" s="31" t="s">
        <v>213</v>
      </c>
      <c r="E46" s="32" t="s">
        <v>213</v>
      </c>
      <c r="F46" s="33"/>
    </row>
    <row r="47" spans="2:6" s="28" customFormat="1" ht="21.75" customHeight="1" x14ac:dyDescent="0.25">
      <c r="B47" s="24"/>
      <c r="C47" s="25" t="s">
        <v>348</v>
      </c>
      <c r="D47" s="25"/>
      <c r="E47" s="26"/>
      <c r="F47" s="27"/>
    </row>
    <row r="48" spans="2:6" x14ac:dyDescent="0.25">
      <c r="B48" s="29"/>
      <c r="C48" s="30" t="s">
        <v>349</v>
      </c>
      <c r="D48" s="31" t="s">
        <v>350</v>
      </c>
      <c r="E48" s="32" t="s">
        <v>351</v>
      </c>
      <c r="F48" s="33" t="s">
        <v>352</v>
      </c>
    </row>
    <row r="49" spans="2:6" x14ac:dyDescent="0.25">
      <c r="B49" s="29"/>
      <c r="C49" s="30" t="s">
        <v>353</v>
      </c>
      <c r="D49" s="31" t="s">
        <v>354</v>
      </c>
      <c r="E49" s="32" t="s">
        <v>355</v>
      </c>
      <c r="F49" s="33" t="s">
        <v>356</v>
      </c>
    </row>
    <row r="50" spans="2:6" x14ac:dyDescent="0.25">
      <c r="B50" s="29"/>
      <c r="C50" s="30" t="s">
        <v>357</v>
      </c>
      <c r="D50" s="31" t="s">
        <v>358</v>
      </c>
      <c r="E50" s="32" t="s">
        <v>358</v>
      </c>
      <c r="F50" s="33"/>
    </row>
    <row r="51" spans="2:6" x14ac:dyDescent="0.25">
      <c r="B51" s="29"/>
      <c r="C51" s="30" t="s">
        <v>359</v>
      </c>
      <c r="D51" s="31" t="s">
        <v>360</v>
      </c>
      <c r="E51" s="32" t="s">
        <v>360</v>
      </c>
      <c r="F51" s="33"/>
    </row>
    <row r="52" spans="2:6" x14ac:dyDescent="0.25">
      <c r="B52" s="29"/>
      <c r="C52" s="30" t="s">
        <v>361</v>
      </c>
      <c r="D52" s="31" t="s">
        <v>362</v>
      </c>
      <c r="E52" s="32" t="s">
        <v>362</v>
      </c>
      <c r="F52" s="33"/>
    </row>
    <row r="53" spans="2:6" x14ac:dyDescent="0.25">
      <c r="B53" s="29"/>
      <c r="C53" s="30" t="s">
        <v>363</v>
      </c>
      <c r="D53" s="31" t="s">
        <v>364</v>
      </c>
      <c r="E53" s="32" t="s">
        <v>364</v>
      </c>
      <c r="F53" s="33"/>
    </row>
    <row r="54" spans="2:6" x14ac:dyDescent="0.25">
      <c r="B54" s="29"/>
      <c r="C54" s="30" t="s">
        <v>365</v>
      </c>
      <c r="D54" s="31" t="s">
        <v>366</v>
      </c>
      <c r="E54" s="32" t="s">
        <v>367</v>
      </c>
      <c r="F54" s="33" t="s">
        <v>368</v>
      </c>
    </row>
    <row r="55" spans="2:6" x14ac:dyDescent="0.25">
      <c r="B55" s="29"/>
      <c r="C55" s="30" t="s">
        <v>369</v>
      </c>
      <c r="D55" s="31" t="s">
        <v>370</v>
      </c>
      <c r="E55" s="32" t="s">
        <v>371</v>
      </c>
      <c r="F55" s="33" t="s">
        <v>352</v>
      </c>
    </row>
    <row r="56" spans="2:6" s="28" customFormat="1" ht="21.75" customHeight="1" x14ac:dyDescent="0.25">
      <c r="B56" s="24"/>
      <c r="C56" s="25" t="s">
        <v>372</v>
      </c>
      <c r="D56" s="25"/>
      <c r="E56" s="26"/>
      <c r="F56" s="27"/>
    </row>
    <row r="57" spans="2:6" x14ac:dyDescent="0.25">
      <c r="B57" s="29"/>
      <c r="C57" s="30" t="s">
        <v>373</v>
      </c>
      <c r="D57" s="31" t="s">
        <v>374</v>
      </c>
      <c r="E57" s="32" t="s">
        <v>374</v>
      </c>
      <c r="F57" s="33" t="s">
        <v>81</v>
      </c>
    </row>
    <row r="58" spans="2:6" x14ac:dyDescent="0.25">
      <c r="B58" s="29"/>
      <c r="C58" s="30" t="s">
        <v>375</v>
      </c>
      <c r="D58" s="31" t="s">
        <v>376</v>
      </c>
      <c r="E58" s="32" t="s">
        <v>377</v>
      </c>
      <c r="F58" s="33" t="s">
        <v>260</v>
      </c>
    </row>
    <row r="59" spans="2:6" s="28" customFormat="1" ht="21.75" customHeight="1" x14ac:dyDescent="0.25">
      <c r="B59" s="24"/>
      <c r="C59" s="25" t="s">
        <v>378</v>
      </c>
      <c r="D59" s="25"/>
      <c r="E59" s="26"/>
      <c r="F59" s="27"/>
    </row>
    <row r="60" spans="2:6" x14ac:dyDescent="0.25">
      <c r="B60" s="29"/>
      <c r="C60" s="30" t="s">
        <v>379</v>
      </c>
      <c r="D60" s="31" t="s">
        <v>380</v>
      </c>
      <c r="E60" s="32" t="s">
        <v>380</v>
      </c>
      <c r="F60" s="33" t="s">
        <v>249</v>
      </c>
    </row>
    <row r="61" spans="2:6" x14ac:dyDescent="0.25">
      <c r="B61" s="29"/>
      <c r="C61" s="30" t="s">
        <v>381</v>
      </c>
      <c r="D61" s="31" t="s">
        <v>382</v>
      </c>
      <c r="E61" s="32" t="s">
        <v>383</v>
      </c>
      <c r="F61" s="33" t="s">
        <v>384</v>
      </c>
    </row>
    <row r="62" spans="2:6" x14ac:dyDescent="0.25">
      <c r="B62" s="34"/>
      <c r="C62" s="35" t="s">
        <v>385</v>
      </c>
      <c r="D62" s="36" t="s">
        <v>386</v>
      </c>
      <c r="E62" s="37" t="s">
        <v>387</v>
      </c>
      <c r="F62" s="33" t="s">
        <v>384</v>
      </c>
    </row>
    <row r="63" spans="2:6" x14ac:dyDescent="0.25">
      <c r="B63" s="34"/>
      <c r="C63" s="35" t="s">
        <v>388</v>
      </c>
      <c r="D63" s="36" t="s">
        <v>389</v>
      </c>
      <c r="E63" s="37" t="s">
        <v>390</v>
      </c>
      <c r="F63" s="33" t="s">
        <v>384</v>
      </c>
    </row>
    <row r="64" spans="2:6" x14ac:dyDescent="0.25">
      <c r="B64" s="29"/>
      <c r="C64" s="30" t="s">
        <v>391</v>
      </c>
      <c r="D64" s="31" t="s">
        <v>391</v>
      </c>
      <c r="E64" s="32" t="s">
        <v>392</v>
      </c>
      <c r="F64" s="33"/>
    </row>
    <row r="65" spans="2:6" s="28" customFormat="1" ht="21.75" customHeight="1" x14ac:dyDescent="0.25">
      <c r="B65" s="24"/>
      <c r="C65" s="25" t="s">
        <v>393</v>
      </c>
      <c r="D65" s="25"/>
      <c r="E65" s="26"/>
      <c r="F65" s="27"/>
    </row>
    <row r="66" spans="2:6" x14ac:dyDescent="0.25">
      <c r="B66" s="29"/>
      <c r="C66" s="30" t="s">
        <v>394</v>
      </c>
      <c r="D66" s="31" t="s">
        <v>395</v>
      </c>
      <c r="E66" s="32" t="s">
        <v>396</v>
      </c>
      <c r="F66" s="33" t="s">
        <v>397</v>
      </c>
    </row>
    <row r="67" spans="2:6" x14ac:dyDescent="0.25">
      <c r="B67" s="29"/>
      <c r="C67" s="30" t="s">
        <v>398</v>
      </c>
      <c r="D67" s="31" t="s">
        <v>189</v>
      </c>
      <c r="E67" s="32" t="s">
        <v>399</v>
      </c>
      <c r="F67" s="33" t="s">
        <v>400</v>
      </c>
    </row>
    <row r="68" spans="2:6" x14ac:dyDescent="0.25">
      <c r="B68" s="29"/>
      <c r="C68" s="30" t="s">
        <v>401</v>
      </c>
      <c r="D68" s="31" t="s">
        <v>402</v>
      </c>
      <c r="E68" s="32" t="s">
        <v>403</v>
      </c>
      <c r="F68" s="33" t="s">
        <v>419</v>
      </c>
    </row>
    <row r="69" spans="2:6" ht="15.5" x14ac:dyDescent="0.25">
      <c r="B69" s="29"/>
      <c r="C69" s="30" t="s">
        <v>404</v>
      </c>
      <c r="D69" s="31" t="s">
        <v>235</v>
      </c>
      <c r="E69" s="32" t="s">
        <v>405</v>
      </c>
      <c r="F69" s="39" t="s">
        <v>412</v>
      </c>
    </row>
    <row r="70" spans="2:6" x14ac:dyDescent="0.25">
      <c r="B70" s="29"/>
      <c r="C70" s="30" t="s">
        <v>406</v>
      </c>
      <c r="D70" s="31" t="s">
        <v>407</v>
      </c>
      <c r="E70" s="32" t="s">
        <v>407</v>
      </c>
      <c r="F70" s="33" t="s">
        <v>408</v>
      </c>
    </row>
    <row r="71" spans="2:6" x14ac:dyDescent="0.25">
      <c r="B71" s="29"/>
      <c r="C71" s="30" t="s">
        <v>409</v>
      </c>
      <c r="D71" s="31" t="s">
        <v>410</v>
      </c>
      <c r="E71" s="32" t="s">
        <v>187</v>
      </c>
      <c r="F71" s="33" t="s">
        <v>384</v>
      </c>
    </row>
    <row r="72" spans="2:6" ht="13.5" thickBot="1" x14ac:dyDescent="0.3">
      <c r="B72" s="40"/>
      <c r="C72" s="41"/>
      <c r="D72" s="42"/>
      <c r="E72" s="43"/>
      <c r="F72" s="44"/>
    </row>
  </sheetData>
  <phoneticPr fontId="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3PGpjs2.7_Parameters</vt:lpstr>
      <vt:lpstr>FOR-526_Ex7</vt:lpstr>
      <vt:lpstr>ouptput</vt:lpstr>
      <vt:lpstr>3PGpjs_Outputs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3PGpjs vsn 2.7</dc:title>
  <dc:creator>Peter Sands</dc:creator>
  <cp:lastModifiedBy>Reviewer</cp:lastModifiedBy>
  <cp:lastPrinted>2001-12-11T05:19:26Z</cp:lastPrinted>
  <dcterms:created xsi:type="dcterms:W3CDTF">2001-11-24T04:33:55Z</dcterms:created>
  <dcterms:modified xsi:type="dcterms:W3CDTF">2024-11-12T03:26:25Z</dcterms:modified>
</cp:coreProperties>
</file>